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exandriava1-my.sharepoint.com/personal/tony_dunsworth_alexandriava_gov/Documents/Reports/AWR/Test Reports/data/"/>
    </mc:Choice>
  </mc:AlternateContent>
  <xr:revisionPtr revIDLastSave="2805" documentId="8_{CF22CFE5-53A6-492B-9F3F-3D53E6FF6D71}" xr6:coauthVersionLast="47" xr6:coauthVersionMax="47" xr10:uidLastSave="{E732DE74-9E6E-4521-93B3-04C5BDC7E310}"/>
  <bookViews>
    <workbookView xWindow="675" yWindow="390" windowWidth="28125" windowHeight="14925" xr2:uid="{C94C2F46-4AEE-4E60-87A2-5C6701903C30}"/>
  </bookViews>
  <sheets>
    <sheet name="week_46_pho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1" l="1"/>
  <c r="AF2" i="1"/>
  <c r="O3" i="1"/>
  <c r="N4" i="1"/>
  <c r="M5" i="1"/>
  <c r="L6" i="1"/>
  <c r="O7" i="1"/>
  <c r="N8" i="1"/>
  <c r="M9" i="1"/>
  <c r="L10" i="1"/>
  <c r="O11" i="1"/>
  <c r="N12" i="1"/>
  <c r="M13" i="1"/>
  <c r="N13" i="1"/>
  <c r="O14" i="1"/>
  <c r="N16" i="1"/>
  <c r="M17" i="1"/>
  <c r="L18" i="1"/>
  <c r="O18" i="1"/>
  <c r="O2" i="1"/>
  <c r="N2" i="1"/>
  <c r="M2" i="1"/>
  <c r="Y3" i="1"/>
  <c r="AA3" i="1" s="1"/>
  <c r="Y4" i="1"/>
  <c r="AA4" i="1" s="1"/>
  <c r="Y5" i="1"/>
  <c r="AF5" i="1" s="1"/>
  <c r="Y6" i="1"/>
  <c r="AF6" i="1" s="1"/>
  <c r="Y7" i="1"/>
  <c r="AF7" i="1" s="1"/>
  <c r="Y8" i="1"/>
  <c r="AF8" i="1" s="1"/>
  <c r="Y9" i="1"/>
  <c r="AF9" i="1" s="1"/>
  <c r="Y10" i="1"/>
  <c r="AF10" i="1" s="1"/>
  <c r="Y11" i="1"/>
  <c r="AF11" i="1" s="1"/>
  <c r="Y12" i="1"/>
  <c r="AF12" i="1" s="1"/>
  <c r="Y13" i="1"/>
  <c r="AF13" i="1" s="1"/>
  <c r="Y14" i="1"/>
  <c r="AF14" i="1" s="1"/>
  <c r="Y15" i="1"/>
  <c r="AF15" i="1" s="1"/>
  <c r="Y16" i="1"/>
  <c r="AF16" i="1" s="1"/>
  <c r="Y17" i="1"/>
  <c r="AF17" i="1" s="1"/>
  <c r="Y18" i="1"/>
  <c r="AF18" i="1" s="1"/>
  <c r="Y19" i="1"/>
  <c r="AF19" i="1" s="1"/>
  <c r="Y20" i="1"/>
  <c r="AF20" i="1" s="1"/>
  <c r="Y21" i="1"/>
  <c r="AF21" i="1" s="1"/>
  <c r="Y22" i="1"/>
  <c r="AF22" i="1" s="1"/>
  <c r="Y23" i="1"/>
  <c r="AF23" i="1" s="1"/>
  <c r="Y24" i="1"/>
  <c r="AF24" i="1" s="1"/>
  <c r="Y25" i="1"/>
  <c r="AF25" i="1" s="1"/>
  <c r="Y26" i="1"/>
  <c r="AG26" i="1" s="1"/>
  <c r="Y27" i="1"/>
  <c r="AF27" i="1" s="1"/>
  <c r="Y28" i="1"/>
  <c r="AF28" i="1" s="1"/>
  <c r="Y29" i="1"/>
  <c r="AF29" i="1" s="1"/>
  <c r="Y30" i="1"/>
  <c r="AF30" i="1" s="1"/>
  <c r="Y31" i="1"/>
  <c r="AF31" i="1" s="1"/>
  <c r="Y32" i="1"/>
  <c r="AF32" i="1" s="1"/>
  <c r="Y33" i="1"/>
  <c r="AF33" i="1" s="1"/>
  <c r="Y34" i="1"/>
  <c r="AF34" i="1" s="1"/>
  <c r="Y35" i="1"/>
  <c r="AF35" i="1" s="1"/>
  <c r="Y36" i="1"/>
  <c r="AF36" i="1" s="1"/>
  <c r="Y37" i="1"/>
  <c r="AF37" i="1" s="1"/>
  <c r="Y38" i="1"/>
  <c r="AF38" i="1" s="1"/>
  <c r="Y39" i="1"/>
  <c r="AF39" i="1" s="1"/>
  <c r="Y40" i="1"/>
  <c r="AF40" i="1" s="1"/>
  <c r="Y41" i="1"/>
  <c r="AF41" i="1" s="1"/>
  <c r="Y42" i="1"/>
  <c r="AF42" i="1" s="1"/>
  <c r="Y43" i="1"/>
  <c r="AF43" i="1" s="1"/>
  <c r="Y44" i="1"/>
  <c r="AF44" i="1" s="1"/>
  <c r="Y45" i="1"/>
  <c r="AF45" i="1" s="1"/>
  <c r="Y46" i="1"/>
  <c r="AF46" i="1" s="1"/>
  <c r="Y47" i="1"/>
  <c r="AF47" i="1" s="1"/>
  <c r="Y48" i="1"/>
  <c r="AF48" i="1" s="1"/>
  <c r="Y49" i="1"/>
  <c r="AF49" i="1" s="1"/>
  <c r="Y50" i="1"/>
  <c r="AF50" i="1" s="1"/>
  <c r="Y51" i="1"/>
  <c r="AF51" i="1" s="1"/>
  <c r="Y52" i="1"/>
  <c r="AF52" i="1" s="1"/>
  <c r="Y53" i="1"/>
  <c r="AF53" i="1" s="1"/>
  <c r="Y54" i="1"/>
  <c r="AF54" i="1" s="1"/>
  <c r="Y55" i="1"/>
  <c r="AF55" i="1" s="1"/>
  <c r="Y56" i="1"/>
  <c r="AF56" i="1" s="1"/>
  <c r="Y57" i="1"/>
  <c r="AF57" i="1" s="1"/>
  <c r="Y58" i="1"/>
  <c r="AF58" i="1" s="1"/>
  <c r="Y59" i="1"/>
  <c r="AF59" i="1" s="1"/>
  <c r="Y60" i="1"/>
  <c r="AF60" i="1" s="1"/>
  <c r="Y61" i="1"/>
  <c r="AF61" i="1" s="1"/>
  <c r="Y62" i="1"/>
  <c r="AF62" i="1" s="1"/>
  <c r="Y63" i="1"/>
  <c r="AF63" i="1" s="1"/>
  <c r="Y64" i="1"/>
  <c r="AF64" i="1" s="1"/>
  <c r="Y65" i="1"/>
  <c r="AF65" i="1" s="1"/>
  <c r="Y66" i="1"/>
  <c r="AF66" i="1" s="1"/>
  <c r="Y67" i="1"/>
  <c r="AF67" i="1" s="1"/>
  <c r="Y68" i="1"/>
  <c r="AF68" i="1" s="1"/>
  <c r="Y69" i="1"/>
  <c r="AF69" i="1" s="1"/>
  <c r="Y70" i="1"/>
  <c r="AF70" i="1" s="1"/>
  <c r="Y71" i="1"/>
  <c r="AF71" i="1" s="1"/>
  <c r="Y72" i="1"/>
  <c r="AF72" i="1" s="1"/>
  <c r="Y73" i="1"/>
  <c r="AF73" i="1" s="1"/>
  <c r="Y74" i="1"/>
  <c r="AF74" i="1" s="1"/>
  <c r="Y75" i="1"/>
  <c r="AF75" i="1" s="1"/>
  <c r="Y76" i="1"/>
  <c r="AF76" i="1" s="1"/>
  <c r="Y77" i="1"/>
  <c r="AF77" i="1" s="1"/>
  <c r="Y78" i="1"/>
  <c r="AF78" i="1" s="1"/>
  <c r="Y79" i="1"/>
  <c r="AF79" i="1" s="1"/>
  <c r="Y80" i="1"/>
  <c r="AF80" i="1" s="1"/>
  <c r="Y81" i="1"/>
  <c r="AF81" i="1" s="1"/>
  <c r="Y82" i="1"/>
  <c r="AF82" i="1" s="1"/>
  <c r="Y83" i="1"/>
  <c r="AF83" i="1" s="1"/>
  <c r="Y84" i="1"/>
  <c r="AF84" i="1" s="1"/>
  <c r="Y85" i="1"/>
  <c r="AF85" i="1" s="1"/>
  <c r="Y86" i="1"/>
  <c r="AF86" i="1" s="1"/>
  <c r="Y87" i="1"/>
  <c r="AF87" i="1" s="1"/>
  <c r="Y88" i="1"/>
  <c r="AF88" i="1" s="1"/>
  <c r="Y89" i="1"/>
  <c r="AF89" i="1" s="1"/>
  <c r="Y90" i="1"/>
  <c r="AF90" i="1" s="1"/>
  <c r="Y91" i="1"/>
  <c r="AF91" i="1" s="1"/>
  <c r="Y92" i="1"/>
  <c r="AF92" i="1" s="1"/>
  <c r="Y93" i="1"/>
  <c r="AF93" i="1" s="1"/>
  <c r="Y94" i="1"/>
  <c r="AF94" i="1" s="1"/>
  <c r="Y95" i="1"/>
  <c r="AF95" i="1" s="1"/>
  <c r="Y96" i="1"/>
  <c r="AF96" i="1" s="1"/>
  <c r="Y97" i="1"/>
  <c r="AF97" i="1" s="1"/>
  <c r="Y98" i="1"/>
  <c r="AF98" i="1" s="1"/>
  <c r="Y99" i="1"/>
  <c r="AF99" i="1" s="1"/>
  <c r="Y100" i="1"/>
  <c r="AF100" i="1" s="1"/>
  <c r="Y101" i="1"/>
  <c r="AF101" i="1" s="1"/>
  <c r="Y102" i="1"/>
  <c r="AF102" i="1" s="1"/>
  <c r="Y103" i="1"/>
  <c r="AF103" i="1" s="1"/>
  <c r="Y104" i="1"/>
  <c r="AF104" i="1" s="1"/>
  <c r="Y105" i="1"/>
  <c r="AF105" i="1" s="1"/>
  <c r="Y106" i="1"/>
  <c r="AF106" i="1" s="1"/>
  <c r="Y107" i="1"/>
  <c r="AF107" i="1" s="1"/>
  <c r="Y108" i="1"/>
  <c r="AF108" i="1" s="1"/>
  <c r="Y109" i="1"/>
  <c r="AF109" i="1" s="1"/>
  <c r="Y110" i="1"/>
  <c r="AF110" i="1" s="1"/>
  <c r="Y111" i="1"/>
  <c r="AF111" i="1" s="1"/>
  <c r="Y112" i="1"/>
  <c r="AF112" i="1" s="1"/>
  <c r="Y113" i="1"/>
  <c r="AF113" i="1" s="1"/>
  <c r="Y114" i="1"/>
  <c r="AF114" i="1" s="1"/>
  <c r="Y115" i="1"/>
  <c r="AF115" i="1" s="1"/>
  <c r="Y116" i="1"/>
  <c r="AF116" i="1" s="1"/>
  <c r="Y117" i="1"/>
  <c r="AF117" i="1" s="1"/>
  <c r="Y118" i="1"/>
  <c r="AF118" i="1" s="1"/>
  <c r="Y119" i="1"/>
  <c r="AF119" i="1" s="1"/>
  <c r="Y120" i="1"/>
  <c r="AF120" i="1" s="1"/>
  <c r="Y121" i="1"/>
  <c r="AF121" i="1" s="1"/>
  <c r="Y122" i="1"/>
  <c r="AF122" i="1" s="1"/>
  <c r="Y123" i="1"/>
  <c r="AF123" i="1" s="1"/>
  <c r="Y124" i="1"/>
  <c r="AF124" i="1" s="1"/>
  <c r="Y125" i="1"/>
  <c r="AF125" i="1" s="1"/>
  <c r="Y126" i="1"/>
  <c r="AF126" i="1" s="1"/>
  <c r="Y127" i="1"/>
  <c r="AF127" i="1" s="1"/>
  <c r="Y128" i="1"/>
  <c r="AF128" i="1" s="1"/>
  <c r="Y129" i="1"/>
  <c r="AF129" i="1" s="1"/>
  <c r="Y130" i="1"/>
  <c r="AF130" i="1" s="1"/>
  <c r="Y131" i="1"/>
  <c r="AF131" i="1" s="1"/>
  <c r="Y132" i="1"/>
  <c r="AF132" i="1" s="1"/>
  <c r="Y133" i="1"/>
  <c r="AF133" i="1" s="1"/>
  <c r="Y134" i="1"/>
  <c r="AF134" i="1" s="1"/>
  <c r="Y135" i="1"/>
  <c r="AF135" i="1" s="1"/>
  <c r="Y136" i="1"/>
  <c r="AF136" i="1" s="1"/>
  <c r="Y137" i="1"/>
  <c r="AF137" i="1" s="1"/>
  <c r="Y138" i="1"/>
  <c r="AF138" i="1" s="1"/>
  <c r="Y139" i="1"/>
  <c r="AF139" i="1" s="1"/>
  <c r="Y140" i="1"/>
  <c r="AF140" i="1" s="1"/>
  <c r="Y141" i="1"/>
  <c r="AF141" i="1" s="1"/>
  <c r="Y142" i="1"/>
  <c r="AF142" i="1" s="1"/>
  <c r="Y143" i="1"/>
  <c r="AF143" i="1" s="1"/>
  <c r="Y144" i="1"/>
  <c r="AF144" i="1" s="1"/>
  <c r="Y145" i="1"/>
  <c r="AF145" i="1" s="1"/>
  <c r="Y146" i="1"/>
  <c r="AF146" i="1" s="1"/>
  <c r="Y147" i="1"/>
  <c r="AF147" i="1" s="1"/>
  <c r="Y148" i="1"/>
  <c r="AF148" i="1" s="1"/>
  <c r="Y149" i="1"/>
  <c r="AF149" i="1" s="1"/>
  <c r="Y150" i="1"/>
  <c r="AF150" i="1" s="1"/>
  <c r="Y151" i="1"/>
  <c r="AF151" i="1" s="1"/>
  <c r="Y152" i="1"/>
  <c r="AF152" i="1" s="1"/>
  <c r="Y153" i="1"/>
  <c r="AF153" i="1" s="1"/>
  <c r="Y154" i="1"/>
  <c r="AF154" i="1" s="1"/>
  <c r="Y155" i="1"/>
  <c r="AF155" i="1" s="1"/>
  <c r="Y156" i="1"/>
  <c r="AF156" i="1" s="1"/>
  <c r="Y157" i="1"/>
  <c r="AF157" i="1" s="1"/>
  <c r="Y158" i="1"/>
  <c r="AF158" i="1" s="1"/>
  <c r="Y159" i="1"/>
  <c r="AF159" i="1" s="1"/>
  <c r="Y160" i="1"/>
  <c r="AF160" i="1" s="1"/>
  <c r="Y161" i="1"/>
  <c r="AF161" i="1" s="1"/>
  <c r="Y162" i="1"/>
  <c r="AF162" i="1" s="1"/>
  <c r="Y163" i="1"/>
  <c r="AF163" i="1" s="1"/>
  <c r="Y164" i="1"/>
  <c r="AF164" i="1" s="1"/>
  <c r="Y165" i="1"/>
  <c r="AF165" i="1" s="1"/>
  <c r="Y166" i="1"/>
  <c r="AF166" i="1" s="1"/>
  <c r="Y167" i="1"/>
  <c r="AF167" i="1" s="1"/>
  <c r="Y168" i="1"/>
  <c r="AF168" i="1" s="1"/>
  <c r="Y169" i="1"/>
  <c r="AF169" i="1" s="1"/>
  <c r="K3" i="1"/>
  <c r="L3" i="1" s="1"/>
  <c r="K4" i="1"/>
  <c r="O4" i="1" s="1"/>
  <c r="K5" i="1"/>
  <c r="N5" i="1" s="1"/>
  <c r="K6" i="1"/>
  <c r="M6" i="1" s="1"/>
  <c r="K7" i="1"/>
  <c r="L7" i="1" s="1"/>
  <c r="K8" i="1"/>
  <c r="O8" i="1" s="1"/>
  <c r="K9" i="1"/>
  <c r="N9" i="1" s="1"/>
  <c r="K10" i="1"/>
  <c r="M10" i="1" s="1"/>
  <c r="K11" i="1"/>
  <c r="L11" i="1" s="1"/>
  <c r="K12" i="1"/>
  <c r="O12" i="1" s="1"/>
  <c r="K13" i="1"/>
  <c r="O13" i="1" s="1"/>
  <c r="K14" i="1"/>
  <c r="L14" i="1" s="1"/>
  <c r="K15" i="1"/>
  <c r="O15" i="1" s="1"/>
  <c r="K16" i="1"/>
  <c r="O16" i="1" s="1"/>
  <c r="K17" i="1"/>
  <c r="N17" i="1" s="1"/>
  <c r="K18" i="1"/>
  <c r="M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M47" i="1" s="1"/>
  <c r="K48" i="1"/>
  <c r="L48" i="1" s="1"/>
  <c r="K49" i="1"/>
  <c r="L49" i="1" s="1"/>
  <c r="K50" i="1"/>
  <c r="P50" i="1" s="1"/>
  <c r="K51" i="1"/>
  <c r="L51" i="1" s="1"/>
  <c r="K52" i="1"/>
  <c r="L52" i="1" s="1"/>
  <c r="K53" i="1"/>
  <c r="K54" i="1"/>
  <c r="O54" i="1" s="1"/>
  <c r="K55" i="1"/>
  <c r="O55" i="1" s="1"/>
  <c r="K56" i="1"/>
  <c r="O56" i="1" s="1"/>
  <c r="K57" i="1"/>
  <c r="O57" i="1" s="1"/>
  <c r="K58" i="1"/>
  <c r="O58" i="1" s="1"/>
  <c r="K59" i="1"/>
  <c r="O59" i="1" s="1"/>
  <c r="K60" i="1"/>
  <c r="O60" i="1" s="1"/>
  <c r="K61" i="1"/>
  <c r="O61" i="1" s="1"/>
  <c r="K62" i="1"/>
  <c r="O62" i="1" s="1"/>
  <c r="K63" i="1"/>
  <c r="O63" i="1" s="1"/>
  <c r="K64" i="1"/>
  <c r="O64" i="1" s="1"/>
  <c r="K65" i="1"/>
  <c r="O65" i="1" s="1"/>
  <c r="K66" i="1"/>
  <c r="O66" i="1" s="1"/>
  <c r="K67" i="1"/>
  <c r="O67" i="1" s="1"/>
  <c r="K68" i="1"/>
  <c r="O68" i="1" s="1"/>
  <c r="K69" i="1"/>
  <c r="O69" i="1" s="1"/>
  <c r="K70" i="1"/>
  <c r="O70" i="1" s="1"/>
  <c r="K71" i="1"/>
  <c r="O71" i="1" s="1"/>
  <c r="K72" i="1"/>
  <c r="O72" i="1" s="1"/>
  <c r="K73" i="1"/>
  <c r="O73" i="1" s="1"/>
  <c r="K74" i="1"/>
  <c r="O74" i="1" s="1"/>
  <c r="K75" i="1"/>
  <c r="O75" i="1" s="1"/>
  <c r="K76" i="1"/>
  <c r="O76" i="1" s="1"/>
  <c r="K77" i="1"/>
  <c r="O77" i="1" s="1"/>
  <c r="K78" i="1"/>
  <c r="O78" i="1" s="1"/>
  <c r="K79" i="1"/>
  <c r="O79" i="1" s="1"/>
  <c r="K80" i="1"/>
  <c r="O80" i="1" s="1"/>
  <c r="K81" i="1"/>
  <c r="O81" i="1" s="1"/>
  <c r="K82" i="1"/>
  <c r="O82" i="1" s="1"/>
  <c r="K83" i="1"/>
  <c r="O83" i="1" s="1"/>
  <c r="K84" i="1"/>
  <c r="O84" i="1" s="1"/>
  <c r="K85" i="1"/>
  <c r="O85" i="1" s="1"/>
  <c r="K86" i="1"/>
  <c r="O86" i="1" s="1"/>
  <c r="K87" i="1"/>
  <c r="O87" i="1" s="1"/>
  <c r="K88" i="1"/>
  <c r="O88" i="1" s="1"/>
  <c r="K89" i="1"/>
  <c r="O89" i="1" s="1"/>
  <c r="K90" i="1"/>
  <c r="O90" i="1" s="1"/>
  <c r="K91" i="1"/>
  <c r="O91" i="1" s="1"/>
  <c r="K92" i="1"/>
  <c r="O92" i="1" s="1"/>
  <c r="K93" i="1"/>
  <c r="O93" i="1" s="1"/>
  <c r="K94" i="1"/>
  <c r="O94" i="1" s="1"/>
  <c r="K95" i="1"/>
  <c r="O95" i="1" s="1"/>
  <c r="K96" i="1"/>
  <c r="O96" i="1" s="1"/>
  <c r="K97" i="1"/>
  <c r="O97" i="1" s="1"/>
  <c r="K98" i="1"/>
  <c r="O98" i="1" s="1"/>
  <c r="K99" i="1"/>
  <c r="O99" i="1" s="1"/>
  <c r="K100" i="1"/>
  <c r="O100" i="1" s="1"/>
  <c r="K101" i="1"/>
  <c r="O101" i="1" s="1"/>
  <c r="K102" i="1"/>
  <c r="O102" i="1" s="1"/>
  <c r="K103" i="1"/>
  <c r="O103" i="1" s="1"/>
  <c r="K104" i="1"/>
  <c r="O104" i="1" s="1"/>
  <c r="K105" i="1"/>
  <c r="O105" i="1" s="1"/>
  <c r="K106" i="1"/>
  <c r="O106" i="1" s="1"/>
  <c r="K107" i="1"/>
  <c r="O107" i="1" s="1"/>
  <c r="K108" i="1"/>
  <c r="O108" i="1" s="1"/>
  <c r="K109" i="1"/>
  <c r="O109" i="1" s="1"/>
  <c r="K110" i="1"/>
  <c r="O110" i="1" s="1"/>
  <c r="K111" i="1"/>
  <c r="O111" i="1" s="1"/>
  <c r="K112" i="1"/>
  <c r="O112" i="1" s="1"/>
  <c r="K113" i="1"/>
  <c r="O113" i="1" s="1"/>
  <c r="K114" i="1"/>
  <c r="O114" i="1" s="1"/>
  <c r="K115" i="1"/>
  <c r="O115" i="1" s="1"/>
  <c r="K116" i="1"/>
  <c r="O116" i="1" s="1"/>
  <c r="K117" i="1"/>
  <c r="O117" i="1" s="1"/>
  <c r="K118" i="1"/>
  <c r="O118" i="1" s="1"/>
  <c r="K119" i="1"/>
  <c r="O119" i="1" s="1"/>
  <c r="K120" i="1"/>
  <c r="O120" i="1" s="1"/>
  <c r="K121" i="1"/>
  <c r="O121" i="1" s="1"/>
  <c r="K122" i="1"/>
  <c r="O122" i="1" s="1"/>
  <c r="K123" i="1"/>
  <c r="O123" i="1" s="1"/>
  <c r="K124" i="1"/>
  <c r="O124" i="1" s="1"/>
  <c r="K125" i="1"/>
  <c r="O125" i="1" s="1"/>
  <c r="K126" i="1"/>
  <c r="O126" i="1" s="1"/>
  <c r="K127" i="1"/>
  <c r="O127" i="1" s="1"/>
  <c r="K128" i="1"/>
  <c r="O128" i="1" s="1"/>
  <c r="K129" i="1"/>
  <c r="O129" i="1" s="1"/>
  <c r="K130" i="1"/>
  <c r="O130" i="1" s="1"/>
  <c r="K131" i="1"/>
  <c r="O131" i="1" s="1"/>
  <c r="K132" i="1"/>
  <c r="O132" i="1" s="1"/>
  <c r="K133" i="1"/>
  <c r="O133" i="1" s="1"/>
  <c r="K134" i="1"/>
  <c r="O134" i="1" s="1"/>
  <c r="K135" i="1"/>
  <c r="O135" i="1" s="1"/>
  <c r="K136" i="1"/>
  <c r="O136" i="1" s="1"/>
  <c r="K137" i="1"/>
  <c r="O137" i="1" s="1"/>
  <c r="K138" i="1"/>
  <c r="O138" i="1" s="1"/>
  <c r="K139" i="1"/>
  <c r="O139" i="1" s="1"/>
  <c r="K140" i="1"/>
  <c r="O140" i="1" s="1"/>
  <c r="K141" i="1"/>
  <c r="O141" i="1" s="1"/>
  <c r="K142" i="1"/>
  <c r="O142" i="1" s="1"/>
  <c r="K143" i="1"/>
  <c r="O143" i="1" s="1"/>
  <c r="K144" i="1"/>
  <c r="O144" i="1" s="1"/>
  <c r="K145" i="1"/>
  <c r="O145" i="1" s="1"/>
  <c r="K146" i="1"/>
  <c r="O146" i="1" s="1"/>
  <c r="K147" i="1"/>
  <c r="O147" i="1" s="1"/>
  <c r="K148" i="1"/>
  <c r="O148" i="1" s="1"/>
  <c r="K149" i="1"/>
  <c r="O149" i="1" s="1"/>
  <c r="K150" i="1"/>
  <c r="O150" i="1" s="1"/>
  <c r="K151" i="1"/>
  <c r="O151" i="1" s="1"/>
  <c r="K152" i="1"/>
  <c r="O152" i="1" s="1"/>
  <c r="K153" i="1"/>
  <c r="O153" i="1" s="1"/>
  <c r="K154" i="1"/>
  <c r="O154" i="1" s="1"/>
  <c r="K155" i="1"/>
  <c r="O155" i="1" s="1"/>
  <c r="K156" i="1"/>
  <c r="O156" i="1" s="1"/>
  <c r="K157" i="1"/>
  <c r="O157" i="1" s="1"/>
  <c r="K158" i="1"/>
  <c r="O158" i="1" s="1"/>
  <c r="K159" i="1"/>
  <c r="O159" i="1" s="1"/>
  <c r="K160" i="1"/>
  <c r="O160" i="1" s="1"/>
  <c r="K161" i="1"/>
  <c r="O161" i="1" s="1"/>
  <c r="K162" i="1"/>
  <c r="O162" i="1" s="1"/>
  <c r="K163" i="1"/>
  <c r="O163" i="1" s="1"/>
  <c r="K164" i="1"/>
  <c r="O164" i="1" s="1"/>
  <c r="K165" i="1"/>
  <c r="O165" i="1" s="1"/>
  <c r="K166" i="1"/>
  <c r="O166" i="1" s="1"/>
  <c r="K167" i="1"/>
  <c r="O167" i="1" s="1"/>
  <c r="K168" i="1"/>
  <c r="O168" i="1" s="1"/>
  <c r="K169" i="1"/>
  <c r="O169" i="1" s="1"/>
  <c r="Y2" i="1"/>
  <c r="AI2" i="1" s="1"/>
  <c r="K2" i="1"/>
  <c r="L2" i="1" s="1"/>
  <c r="P20" i="1"/>
  <c r="P21" i="1"/>
  <c r="P26" i="1"/>
  <c r="P28" i="1"/>
  <c r="P32" i="1"/>
  <c r="P33" i="1"/>
  <c r="P34" i="1"/>
  <c r="P36" i="1"/>
  <c r="P40" i="1"/>
  <c r="P41" i="1"/>
  <c r="P42" i="1"/>
  <c r="P44" i="1"/>
  <c r="P48" i="1"/>
  <c r="P49" i="1"/>
  <c r="P55" i="1"/>
  <c r="P59" i="1"/>
  <c r="P60" i="1"/>
  <c r="P65" i="1"/>
  <c r="P67" i="1"/>
  <c r="P71" i="1"/>
  <c r="P72" i="1"/>
  <c r="P73" i="1"/>
  <c r="P75" i="1"/>
  <c r="P79" i="1"/>
  <c r="P80" i="1"/>
  <c r="P81" i="1"/>
  <c r="P87" i="1"/>
  <c r="P101" i="1"/>
  <c r="P103" i="1"/>
  <c r="P107" i="1"/>
  <c r="P109" i="1"/>
  <c r="P111" i="1"/>
  <c r="P115" i="1"/>
  <c r="P125" i="1"/>
  <c r="P127" i="1"/>
  <c r="P131" i="1"/>
  <c r="Z55" i="1"/>
  <c r="Z60" i="1"/>
  <c r="AG4" i="1" l="1"/>
  <c r="AH4" i="1"/>
  <c r="AF4" i="1"/>
  <c r="AI4" i="1"/>
  <c r="AH3" i="1"/>
  <c r="AG3" i="1"/>
  <c r="AF3" i="1"/>
  <c r="AG2" i="1"/>
  <c r="AH2" i="1"/>
  <c r="AD169" i="1"/>
  <c r="AC169" i="1"/>
  <c r="AH169" i="1"/>
  <c r="AB169" i="1"/>
  <c r="AG169" i="1"/>
  <c r="AI169" i="1"/>
  <c r="AE169" i="1"/>
  <c r="AA169" i="1"/>
  <c r="AD168" i="1"/>
  <c r="AC168" i="1"/>
  <c r="AH168" i="1"/>
  <c r="AI168" i="1"/>
  <c r="AB168" i="1"/>
  <c r="AG168" i="1"/>
  <c r="AE168" i="1"/>
  <c r="AA168" i="1"/>
  <c r="AD167" i="1"/>
  <c r="AC167" i="1"/>
  <c r="AH167" i="1"/>
  <c r="AI167" i="1"/>
  <c r="AB167" i="1"/>
  <c r="AG167" i="1"/>
  <c r="AE167" i="1"/>
  <c r="AA167" i="1"/>
  <c r="AC166" i="1"/>
  <c r="AH166" i="1"/>
  <c r="AI166" i="1"/>
  <c r="AB166" i="1"/>
  <c r="AG166" i="1"/>
  <c r="AD166" i="1"/>
  <c r="AE166" i="1"/>
  <c r="AA166" i="1"/>
  <c r="AD165" i="1"/>
  <c r="AC165" i="1"/>
  <c r="AH165" i="1"/>
  <c r="AB165" i="1"/>
  <c r="AG165" i="1"/>
  <c r="AI165" i="1"/>
  <c r="AE165" i="1"/>
  <c r="AA165" i="1"/>
  <c r="AI164" i="1"/>
  <c r="AC164" i="1"/>
  <c r="AH164" i="1"/>
  <c r="AD164" i="1"/>
  <c r="AB164" i="1"/>
  <c r="AG164" i="1"/>
  <c r="AE164" i="1"/>
  <c r="AA164" i="1"/>
  <c r="AD163" i="1"/>
  <c r="AC163" i="1"/>
  <c r="AH163" i="1"/>
  <c r="AB163" i="1"/>
  <c r="AG163" i="1"/>
  <c r="AI163" i="1"/>
  <c r="AE163" i="1"/>
  <c r="AA163" i="1"/>
  <c r="AD162" i="1"/>
  <c r="AC162" i="1"/>
  <c r="AH162" i="1"/>
  <c r="AB162" i="1"/>
  <c r="AG162" i="1"/>
  <c r="AI162" i="1"/>
  <c r="AE162" i="1"/>
  <c r="AA162" i="1"/>
  <c r="AD161" i="1"/>
  <c r="AC161" i="1"/>
  <c r="AH161" i="1"/>
  <c r="AI161" i="1"/>
  <c r="AB161" i="1"/>
  <c r="AG161" i="1"/>
  <c r="AE161" i="1"/>
  <c r="AA161" i="1"/>
  <c r="AC160" i="1"/>
  <c r="AH160" i="1"/>
  <c r="AD160" i="1"/>
  <c r="AB160" i="1"/>
  <c r="AG160" i="1"/>
  <c r="AI160" i="1"/>
  <c r="AE160" i="1"/>
  <c r="AA160" i="1"/>
  <c r="AC159" i="1"/>
  <c r="AH159" i="1"/>
  <c r="AI159" i="1"/>
  <c r="AB159" i="1"/>
  <c r="AG159" i="1"/>
  <c r="AD159" i="1"/>
  <c r="AE159" i="1"/>
  <c r="AA159" i="1"/>
  <c r="AD158" i="1"/>
  <c r="AC158" i="1"/>
  <c r="AH158" i="1"/>
  <c r="AB158" i="1"/>
  <c r="AG158" i="1"/>
  <c r="AI158" i="1"/>
  <c r="AE158" i="1"/>
  <c r="AA158" i="1"/>
  <c r="AC157" i="1"/>
  <c r="AH157" i="1"/>
  <c r="AD157" i="1"/>
  <c r="AB157" i="1"/>
  <c r="AG157" i="1"/>
  <c r="AI157" i="1"/>
  <c r="AE157" i="1"/>
  <c r="AA157" i="1"/>
  <c r="AD156" i="1"/>
  <c r="AC156" i="1"/>
  <c r="AH156" i="1"/>
  <c r="AB156" i="1"/>
  <c r="AG156" i="1"/>
  <c r="AI156" i="1"/>
  <c r="AE156" i="1"/>
  <c r="AA156" i="1"/>
  <c r="AD155" i="1"/>
  <c r="AC155" i="1"/>
  <c r="AH155" i="1"/>
  <c r="AB155" i="1"/>
  <c r="AG155" i="1"/>
  <c r="AI155" i="1"/>
  <c r="AE155" i="1"/>
  <c r="AA155" i="1"/>
  <c r="AD154" i="1"/>
  <c r="AC154" i="1"/>
  <c r="AH154" i="1"/>
  <c r="AI154" i="1"/>
  <c r="AB154" i="1"/>
  <c r="AG154" i="1"/>
  <c r="AE154" i="1"/>
  <c r="AA154" i="1"/>
  <c r="AD153" i="1"/>
  <c r="AC153" i="1"/>
  <c r="AH153" i="1"/>
  <c r="AB153" i="1"/>
  <c r="AG153" i="1"/>
  <c r="AI153" i="1"/>
  <c r="AE153" i="1"/>
  <c r="AA153" i="1"/>
  <c r="AC152" i="1"/>
  <c r="AH152" i="1"/>
  <c r="AB152" i="1"/>
  <c r="AG152" i="1"/>
  <c r="AD152" i="1"/>
  <c r="AI152" i="1"/>
  <c r="AE152" i="1"/>
  <c r="AA152" i="1"/>
  <c r="AD151" i="1"/>
  <c r="AC151" i="1"/>
  <c r="AH151" i="1"/>
  <c r="AI151" i="1"/>
  <c r="AB151" i="1"/>
  <c r="AG151" i="1"/>
  <c r="AE151" i="1"/>
  <c r="AA151" i="1"/>
  <c r="AC150" i="1"/>
  <c r="AH150" i="1"/>
  <c r="AD150" i="1"/>
  <c r="AB150" i="1"/>
  <c r="AG150" i="1"/>
  <c r="AI150" i="1"/>
  <c r="AE150" i="1"/>
  <c r="AA150" i="1"/>
  <c r="AD149" i="1"/>
  <c r="AC149" i="1"/>
  <c r="AH149" i="1"/>
  <c r="AI149" i="1"/>
  <c r="AB149" i="1"/>
  <c r="AG149" i="1"/>
  <c r="AE149" i="1"/>
  <c r="AA149" i="1"/>
  <c r="AI148" i="1"/>
  <c r="AC148" i="1"/>
  <c r="AH148" i="1"/>
  <c r="AD148" i="1"/>
  <c r="AB148" i="1"/>
  <c r="AG148" i="1"/>
  <c r="AE148" i="1"/>
  <c r="AA148" i="1"/>
  <c r="AC147" i="1"/>
  <c r="AH147" i="1"/>
  <c r="AD147" i="1"/>
  <c r="AB147" i="1"/>
  <c r="AG147" i="1"/>
  <c r="AI147" i="1"/>
  <c r="AE147" i="1"/>
  <c r="AA147" i="1"/>
  <c r="AD146" i="1"/>
  <c r="AC146" i="1"/>
  <c r="AH146" i="1"/>
  <c r="AB146" i="1"/>
  <c r="AG146" i="1"/>
  <c r="AI146" i="1"/>
  <c r="AE146" i="1"/>
  <c r="AA146" i="1"/>
  <c r="AD145" i="1"/>
  <c r="AC145" i="1"/>
  <c r="AH145" i="1"/>
  <c r="AB145" i="1"/>
  <c r="AG145" i="1"/>
  <c r="AI145" i="1"/>
  <c r="AE145" i="1"/>
  <c r="AA145" i="1"/>
  <c r="AC144" i="1"/>
  <c r="AH144" i="1"/>
  <c r="AD144" i="1"/>
  <c r="AB144" i="1"/>
  <c r="AG144" i="1"/>
  <c r="AI144" i="1"/>
  <c r="AE144" i="1"/>
  <c r="AA144" i="1"/>
  <c r="AD143" i="1"/>
  <c r="AC143" i="1"/>
  <c r="AH143" i="1"/>
  <c r="AB143" i="1"/>
  <c r="AG143" i="1"/>
  <c r="AI143" i="1"/>
  <c r="AE143" i="1"/>
  <c r="AA143" i="1"/>
  <c r="AD142" i="1"/>
  <c r="AC142" i="1"/>
  <c r="AH142" i="1"/>
  <c r="AB142" i="1"/>
  <c r="AG142" i="1"/>
  <c r="AI142" i="1"/>
  <c r="AE142" i="1"/>
  <c r="AA142" i="1"/>
  <c r="AC141" i="1"/>
  <c r="AH141" i="1"/>
  <c r="AD141" i="1"/>
  <c r="AB141" i="1"/>
  <c r="AG141" i="1"/>
  <c r="AI141" i="1"/>
  <c r="AE141" i="1"/>
  <c r="AA141" i="1"/>
  <c r="AD140" i="1"/>
  <c r="AC140" i="1"/>
  <c r="AH140" i="1"/>
  <c r="AB140" i="1"/>
  <c r="AG140" i="1"/>
  <c r="AI140" i="1"/>
  <c r="AE140" i="1"/>
  <c r="AA140" i="1"/>
  <c r="AD139" i="1"/>
  <c r="AC139" i="1"/>
  <c r="AH139" i="1"/>
  <c r="AB139" i="1"/>
  <c r="AG139" i="1"/>
  <c r="AI139" i="1"/>
  <c r="AE139" i="1"/>
  <c r="AA139" i="1"/>
  <c r="AD138" i="1"/>
  <c r="AC138" i="1"/>
  <c r="AH138" i="1"/>
  <c r="AI138" i="1"/>
  <c r="AB138" i="1"/>
  <c r="AG138" i="1"/>
  <c r="AE138" i="1"/>
  <c r="AA138" i="1"/>
  <c r="AD137" i="1"/>
  <c r="AC137" i="1"/>
  <c r="AH137" i="1"/>
  <c r="AI137" i="1"/>
  <c r="AB137" i="1"/>
  <c r="AG137" i="1"/>
  <c r="AE137" i="1"/>
  <c r="AA137" i="1"/>
  <c r="AD136" i="1"/>
  <c r="AC136" i="1"/>
  <c r="AH136" i="1"/>
  <c r="AB136" i="1"/>
  <c r="AG136" i="1"/>
  <c r="AI136" i="1"/>
  <c r="AE136" i="1"/>
  <c r="AA136" i="1"/>
  <c r="AD135" i="1"/>
  <c r="AC135" i="1"/>
  <c r="AH135" i="1"/>
  <c r="AB135" i="1"/>
  <c r="AG135" i="1"/>
  <c r="AI135" i="1"/>
  <c r="AE135" i="1"/>
  <c r="AA135" i="1"/>
  <c r="AC134" i="1"/>
  <c r="AH134" i="1"/>
  <c r="AI134" i="1"/>
  <c r="AB134" i="1"/>
  <c r="AG134" i="1"/>
  <c r="AD134" i="1"/>
  <c r="AE134" i="1"/>
  <c r="AA134" i="1"/>
  <c r="AD133" i="1"/>
  <c r="AC133" i="1"/>
  <c r="AH133" i="1"/>
  <c r="AB133" i="1"/>
  <c r="AG133" i="1"/>
  <c r="AI133" i="1"/>
  <c r="AE133" i="1"/>
  <c r="AA133" i="1"/>
  <c r="AD132" i="1"/>
  <c r="AH132" i="1"/>
  <c r="AB132" i="1"/>
  <c r="AG132" i="1"/>
  <c r="AI132" i="1"/>
  <c r="AC132" i="1"/>
  <c r="AE132" i="1"/>
  <c r="AA132" i="1"/>
  <c r="AD131" i="1"/>
  <c r="AC131" i="1"/>
  <c r="AH131" i="1"/>
  <c r="AB131" i="1"/>
  <c r="AG131" i="1"/>
  <c r="AI131" i="1"/>
  <c r="AE131" i="1"/>
  <c r="AA131" i="1"/>
  <c r="AC130" i="1"/>
  <c r="AH130" i="1"/>
  <c r="AD130" i="1"/>
  <c r="AB130" i="1"/>
  <c r="AG130" i="1"/>
  <c r="AI130" i="1"/>
  <c r="AE130" i="1"/>
  <c r="AA130" i="1"/>
  <c r="AD129" i="1"/>
  <c r="AC129" i="1"/>
  <c r="AH129" i="1"/>
  <c r="AI129" i="1"/>
  <c r="AB129" i="1"/>
  <c r="AG129" i="1"/>
  <c r="AE129" i="1"/>
  <c r="AA129" i="1"/>
  <c r="AD128" i="1"/>
  <c r="AC128" i="1"/>
  <c r="AH128" i="1"/>
  <c r="AI128" i="1"/>
  <c r="AB128" i="1"/>
  <c r="AG128" i="1"/>
  <c r="AE128" i="1"/>
  <c r="AA128" i="1"/>
  <c r="AC127" i="1"/>
  <c r="AH127" i="1"/>
  <c r="AD127" i="1"/>
  <c r="AB127" i="1"/>
  <c r="AG127" i="1"/>
  <c r="AI127" i="1"/>
  <c r="AE127" i="1"/>
  <c r="AA127" i="1"/>
  <c r="AD126" i="1"/>
  <c r="AC126" i="1"/>
  <c r="AH126" i="1"/>
  <c r="AB126" i="1"/>
  <c r="AG126" i="1"/>
  <c r="AI126" i="1"/>
  <c r="AE126" i="1"/>
  <c r="AA126" i="1"/>
  <c r="AD125" i="1"/>
  <c r="AC125" i="1"/>
  <c r="AH125" i="1"/>
  <c r="AB125" i="1"/>
  <c r="AG125" i="1"/>
  <c r="AI125" i="1"/>
  <c r="AE125" i="1"/>
  <c r="AA125" i="1"/>
  <c r="AC124" i="1"/>
  <c r="AH124" i="1"/>
  <c r="AD124" i="1"/>
  <c r="AB124" i="1"/>
  <c r="AG124" i="1"/>
  <c r="AI124" i="1"/>
  <c r="AE124" i="1"/>
  <c r="AA124" i="1"/>
  <c r="AC123" i="1"/>
  <c r="AH123" i="1"/>
  <c r="AI123" i="1"/>
  <c r="AB123" i="1"/>
  <c r="AG123" i="1"/>
  <c r="AD123" i="1"/>
  <c r="AE123" i="1"/>
  <c r="AA123" i="1"/>
  <c r="AC122" i="1"/>
  <c r="AH122" i="1"/>
  <c r="AI122" i="1"/>
  <c r="AB122" i="1"/>
  <c r="AG122" i="1"/>
  <c r="AD122" i="1"/>
  <c r="AE122" i="1"/>
  <c r="AA122" i="1"/>
  <c r="AC121" i="1"/>
  <c r="AH121" i="1"/>
  <c r="AD121" i="1"/>
  <c r="AI121" i="1"/>
  <c r="AB121" i="1"/>
  <c r="AG121" i="1"/>
  <c r="AE121" i="1"/>
  <c r="AA121" i="1"/>
  <c r="AC120" i="1"/>
  <c r="AH120" i="1"/>
  <c r="AD120" i="1"/>
  <c r="AB120" i="1"/>
  <c r="AG120" i="1"/>
  <c r="AI120" i="1"/>
  <c r="AE120" i="1"/>
  <c r="AA120" i="1"/>
  <c r="AD119" i="1"/>
  <c r="AC119" i="1"/>
  <c r="AH119" i="1"/>
  <c r="AB119" i="1"/>
  <c r="AG119" i="1"/>
  <c r="AI119" i="1"/>
  <c r="AE119" i="1"/>
  <c r="AA119" i="1"/>
  <c r="AD118" i="1"/>
  <c r="AC118" i="1"/>
  <c r="AH118" i="1"/>
  <c r="AB118" i="1"/>
  <c r="AG118" i="1"/>
  <c r="AI118" i="1"/>
  <c r="AE118" i="1"/>
  <c r="AA118" i="1"/>
  <c r="AD117" i="1"/>
  <c r="AC117" i="1"/>
  <c r="AH117" i="1"/>
  <c r="AB117" i="1"/>
  <c r="AG117" i="1"/>
  <c r="AI117" i="1"/>
  <c r="AE117" i="1"/>
  <c r="AA117" i="1"/>
  <c r="AD116" i="1"/>
  <c r="AI116" i="1"/>
  <c r="AC116" i="1"/>
  <c r="AH116" i="1"/>
  <c r="AB116" i="1"/>
  <c r="AG116" i="1"/>
  <c r="AE116" i="1"/>
  <c r="AA116" i="1"/>
  <c r="AC115" i="1"/>
  <c r="AH115" i="1"/>
  <c r="AB115" i="1"/>
  <c r="AG115" i="1"/>
  <c r="AD115" i="1"/>
  <c r="AI115" i="1"/>
  <c r="AE115" i="1"/>
  <c r="AA115" i="1"/>
  <c r="AC114" i="1"/>
  <c r="AH114" i="1"/>
  <c r="AI114" i="1"/>
  <c r="AB114" i="1"/>
  <c r="AG114" i="1"/>
  <c r="AD114" i="1"/>
  <c r="AE114" i="1"/>
  <c r="AA114" i="1"/>
  <c r="AC113" i="1"/>
  <c r="AH113" i="1"/>
  <c r="AD113" i="1"/>
  <c r="AI113" i="1"/>
  <c r="AB113" i="1"/>
  <c r="AG113" i="1"/>
  <c r="AE113" i="1"/>
  <c r="AA113" i="1"/>
  <c r="AD112" i="1"/>
  <c r="AC112" i="1"/>
  <c r="AH112" i="1"/>
  <c r="AB112" i="1"/>
  <c r="AG112" i="1"/>
  <c r="AI112" i="1"/>
  <c r="AE112" i="1"/>
  <c r="AA112" i="1"/>
  <c r="AC111" i="1"/>
  <c r="AH111" i="1"/>
  <c r="AD111" i="1"/>
  <c r="AB111" i="1"/>
  <c r="AG111" i="1"/>
  <c r="AI111" i="1"/>
  <c r="AE111" i="1"/>
  <c r="AA111" i="1"/>
  <c r="AD110" i="1"/>
  <c r="AC110" i="1"/>
  <c r="AH110" i="1"/>
  <c r="AI110" i="1"/>
  <c r="AB110" i="1"/>
  <c r="AG110" i="1"/>
  <c r="AE110" i="1"/>
  <c r="AA110" i="1"/>
  <c r="AC109" i="1"/>
  <c r="AH109" i="1"/>
  <c r="AB109" i="1"/>
  <c r="AG109" i="1"/>
  <c r="AD109" i="1"/>
  <c r="AI109" i="1"/>
  <c r="AE109" i="1"/>
  <c r="AA109" i="1"/>
  <c r="AD108" i="1"/>
  <c r="AC108" i="1"/>
  <c r="AH108" i="1"/>
  <c r="AB108" i="1"/>
  <c r="AG108" i="1"/>
  <c r="AI108" i="1"/>
  <c r="AE108" i="1"/>
  <c r="AA108" i="1"/>
  <c r="AC107" i="1"/>
  <c r="AH107" i="1"/>
  <c r="AD107" i="1"/>
  <c r="AB107" i="1"/>
  <c r="AG107" i="1"/>
  <c r="AI107" i="1"/>
  <c r="AE107" i="1"/>
  <c r="AA107" i="1"/>
  <c r="AC106" i="1"/>
  <c r="AH106" i="1"/>
  <c r="AD106" i="1"/>
  <c r="AB106" i="1"/>
  <c r="AG106" i="1"/>
  <c r="AI106" i="1"/>
  <c r="AE106" i="1"/>
  <c r="AA106" i="1"/>
  <c r="AC105" i="1"/>
  <c r="AH105" i="1"/>
  <c r="AD105" i="1"/>
  <c r="AB105" i="1"/>
  <c r="AG105" i="1"/>
  <c r="AI105" i="1"/>
  <c r="AE105" i="1"/>
  <c r="AA105" i="1"/>
  <c r="AC104" i="1"/>
  <c r="AH104" i="1"/>
  <c r="AI104" i="1"/>
  <c r="AB104" i="1"/>
  <c r="AG104" i="1"/>
  <c r="AD104" i="1"/>
  <c r="AE104" i="1"/>
  <c r="AA104" i="1"/>
  <c r="AC103" i="1"/>
  <c r="AH103" i="1"/>
  <c r="AI103" i="1"/>
  <c r="Z103" i="1"/>
  <c r="AJ103" i="1" s="1"/>
  <c r="AB103" i="1"/>
  <c r="AG103" i="1"/>
  <c r="AD103" i="1"/>
  <c r="AE103" i="1"/>
  <c r="AA103" i="1"/>
  <c r="AD102" i="1"/>
  <c r="AC102" i="1"/>
  <c r="AH102" i="1"/>
  <c r="AB102" i="1"/>
  <c r="AG102" i="1"/>
  <c r="AI102" i="1"/>
  <c r="AE102" i="1"/>
  <c r="AA102" i="1"/>
  <c r="AC101" i="1"/>
  <c r="AH101" i="1"/>
  <c r="AD101" i="1"/>
  <c r="AB101" i="1"/>
  <c r="AG101" i="1"/>
  <c r="AI101" i="1"/>
  <c r="AE101" i="1"/>
  <c r="AA101" i="1"/>
  <c r="AD100" i="1"/>
  <c r="AC100" i="1"/>
  <c r="AH100" i="1"/>
  <c r="AB100" i="1"/>
  <c r="AG100" i="1"/>
  <c r="AI100" i="1"/>
  <c r="AE100" i="1"/>
  <c r="AA100" i="1"/>
  <c r="AC99" i="1"/>
  <c r="AH99" i="1"/>
  <c r="AI99" i="1"/>
  <c r="AB99" i="1"/>
  <c r="AG99" i="1"/>
  <c r="AD99" i="1"/>
  <c r="AE99" i="1"/>
  <c r="AA99" i="1"/>
  <c r="AD98" i="1"/>
  <c r="AI98" i="1"/>
  <c r="AH98" i="1"/>
  <c r="AB98" i="1"/>
  <c r="AG98" i="1"/>
  <c r="AC98" i="1"/>
  <c r="AE98" i="1"/>
  <c r="AA98" i="1"/>
  <c r="AD97" i="1"/>
  <c r="AC97" i="1"/>
  <c r="AH97" i="1"/>
  <c r="AB97" i="1"/>
  <c r="AG97" i="1"/>
  <c r="AI97" i="1"/>
  <c r="AE97" i="1"/>
  <c r="AA97" i="1"/>
  <c r="AC96" i="1"/>
  <c r="AH96" i="1"/>
  <c r="AD96" i="1"/>
  <c r="AB96" i="1"/>
  <c r="AG96" i="1"/>
  <c r="AI96" i="1"/>
  <c r="AE96" i="1"/>
  <c r="AA96" i="1"/>
  <c r="AC95" i="1"/>
  <c r="AH95" i="1"/>
  <c r="AD95" i="1"/>
  <c r="AB95" i="1"/>
  <c r="AG95" i="1"/>
  <c r="AI95" i="1"/>
  <c r="AE95" i="1"/>
  <c r="AA95" i="1"/>
  <c r="AD94" i="1"/>
  <c r="AC94" i="1"/>
  <c r="AH94" i="1"/>
  <c r="AB94" i="1"/>
  <c r="AG94" i="1"/>
  <c r="AI94" i="1"/>
  <c r="AE94" i="1"/>
  <c r="AA94" i="1"/>
  <c r="AC93" i="1"/>
  <c r="AH93" i="1"/>
  <c r="AD93" i="1"/>
  <c r="AB93" i="1"/>
  <c r="AG93" i="1"/>
  <c r="AI93" i="1"/>
  <c r="AE93" i="1"/>
  <c r="AA93" i="1"/>
  <c r="AD92" i="1"/>
  <c r="AC92" i="1"/>
  <c r="AH92" i="1"/>
  <c r="AB92" i="1"/>
  <c r="AG92" i="1"/>
  <c r="AI92" i="1"/>
  <c r="AE92" i="1"/>
  <c r="AA92" i="1"/>
  <c r="AI91" i="1"/>
  <c r="AC91" i="1"/>
  <c r="AH91" i="1"/>
  <c r="Z91" i="1"/>
  <c r="AB91" i="1"/>
  <c r="AG91" i="1"/>
  <c r="AD91" i="1"/>
  <c r="AE91" i="1"/>
  <c r="AA91" i="1"/>
  <c r="AC90" i="1"/>
  <c r="AH90" i="1"/>
  <c r="AB90" i="1"/>
  <c r="AG90" i="1"/>
  <c r="AD90" i="1"/>
  <c r="AI90" i="1"/>
  <c r="AE90" i="1"/>
  <c r="AA90" i="1"/>
  <c r="AI89" i="1"/>
  <c r="AD89" i="1"/>
  <c r="AC89" i="1"/>
  <c r="AH89" i="1"/>
  <c r="AB89" i="1"/>
  <c r="AG89" i="1"/>
  <c r="AE89" i="1"/>
  <c r="AA89" i="1"/>
  <c r="AC88" i="1"/>
  <c r="AH88" i="1"/>
  <c r="AI88" i="1"/>
  <c r="AB88" i="1"/>
  <c r="AG88" i="1"/>
  <c r="AD88" i="1"/>
  <c r="AE88" i="1"/>
  <c r="AA88" i="1"/>
  <c r="AD87" i="1"/>
  <c r="AC87" i="1"/>
  <c r="AH87" i="1"/>
  <c r="AB87" i="1"/>
  <c r="AG87" i="1"/>
  <c r="AI87" i="1"/>
  <c r="AE87" i="1"/>
  <c r="AA87" i="1"/>
  <c r="AD86" i="1"/>
  <c r="AC86" i="1"/>
  <c r="AH86" i="1"/>
  <c r="AI86" i="1"/>
  <c r="AB86" i="1"/>
  <c r="AG86" i="1"/>
  <c r="AE86" i="1"/>
  <c r="AA86" i="1"/>
  <c r="AC85" i="1"/>
  <c r="AH85" i="1"/>
  <c r="AI85" i="1"/>
  <c r="AB85" i="1"/>
  <c r="AG85" i="1"/>
  <c r="AD85" i="1"/>
  <c r="AE85" i="1"/>
  <c r="AA85" i="1"/>
  <c r="AD84" i="1"/>
  <c r="AC84" i="1"/>
  <c r="AH84" i="1"/>
  <c r="AB84" i="1"/>
  <c r="AG84" i="1"/>
  <c r="AI84" i="1"/>
  <c r="AE84" i="1"/>
  <c r="AA84" i="1"/>
  <c r="AD83" i="1"/>
  <c r="AI83" i="1"/>
  <c r="AC83" i="1"/>
  <c r="AH83" i="1"/>
  <c r="AB83" i="1"/>
  <c r="AG83" i="1"/>
  <c r="AE83" i="1"/>
  <c r="AA83" i="1"/>
  <c r="AC82" i="1"/>
  <c r="AH82" i="1"/>
  <c r="AD82" i="1"/>
  <c r="AI82" i="1"/>
  <c r="AB82" i="1"/>
  <c r="AG82" i="1"/>
  <c r="AE82" i="1"/>
  <c r="AA82" i="1"/>
  <c r="AD81" i="1"/>
  <c r="AI81" i="1"/>
  <c r="AC81" i="1"/>
  <c r="AH81" i="1"/>
  <c r="AB81" i="1"/>
  <c r="AG81" i="1"/>
  <c r="AE81" i="1"/>
  <c r="AA81" i="1"/>
  <c r="AC80" i="1"/>
  <c r="AH80" i="1"/>
  <c r="AB80" i="1"/>
  <c r="AG80" i="1"/>
  <c r="AD80" i="1"/>
  <c r="AI80" i="1"/>
  <c r="AE80" i="1"/>
  <c r="AA80" i="1"/>
  <c r="AD79" i="1"/>
  <c r="AC79" i="1"/>
  <c r="AH79" i="1"/>
  <c r="AB79" i="1"/>
  <c r="AG79" i="1"/>
  <c r="AI79" i="1"/>
  <c r="AE79" i="1"/>
  <c r="AA79" i="1"/>
  <c r="AD78" i="1"/>
  <c r="AC78" i="1"/>
  <c r="AH78" i="1"/>
  <c r="AB78" i="1"/>
  <c r="AG78" i="1"/>
  <c r="AI78" i="1"/>
  <c r="AE78" i="1"/>
  <c r="AA78" i="1"/>
  <c r="AC77" i="1"/>
  <c r="AH77" i="1"/>
  <c r="AB77" i="1"/>
  <c r="AG77" i="1"/>
  <c r="AD77" i="1"/>
  <c r="AI77" i="1"/>
  <c r="AE77" i="1"/>
  <c r="AA77" i="1"/>
  <c r="AI76" i="1"/>
  <c r="AH76" i="1"/>
  <c r="AB76" i="1"/>
  <c r="AG76" i="1"/>
  <c r="AD76" i="1"/>
  <c r="AC76" i="1"/>
  <c r="AE76" i="1"/>
  <c r="AA76" i="1"/>
  <c r="AD75" i="1"/>
  <c r="AC75" i="1"/>
  <c r="AH75" i="1"/>
  <c r="AI75" i="1"/>
  <c r="Z75" i="1"/>
  <c r="AJ75" i="1" s="1"/>
  <c r="AB75" i="1"/>
  <c r="AG75" i="1"/>
  <c r="AE75" i="1"/>
  <c r="AA75" i="1"/>
  <c r="AD74" i="1"/>
  <c r="AC74" i="1"/>
  <c r="AH74" i="1"/>
  <c r="AB74" i="1"/>
  <c r="AG74" i="1"/>
  <c r="AI74" i="1"/>
  <c r="AE74" i="1"/>
  <c r="AA74" i="1"/>
  <c r="AD73" i="1"/>
  <c r="AC73" i="1"/>
  <c r="AH73" i="1"/>
  <c r="AB73" i="1"/>
  <c r="AG73" i="1"/>
  <c r="AI73" i="1"/>
  <c r="AE73" i="1"/>
  <c r="AA73" i="1"/>
  <c r="AD72" i="1"/>
  <c r="AH72" i="1"/>
  <c r="AB72" i="1"/>
  <c r="AG72" i="1"/>
  <c r="AI72" i="1"/>
  <c r="AC72" i="1"/>
  <c r="AE72" i="1"/>
  <c r="AA72" i="1"/>
  <c r="AC71" i="1"/>
  <c r="AH71" i="1"/>
  <c r="AI71" i="1"/>
  <c r="Z71" i="1"/>
  <c r="AJ71" i="1" s="1"/>
  <c r="AB71" i="1"/>
  <c r="AG71" i="1"/>
  <c r="AD71" i="1"/>
  <c r="AE71" i="1"/>
  <c r="AA71" i="1"/>
  <c r="AC70" i="1"/>
  <c r="AH70" i="1"/>
  <c r="AD70" i="1"/>
  <c r="AB70" i="1"/>
  <c r="AG70" i="1"/>
  <c r="AI70" i="1"/>
  <c r="AE70" i="1"/>
  <c r="AA70" i="1"/>
  <c r="AD69" i="1"/>
  <c r="AC69" i="1"/>
  <c r="AH69" i="1"/>
  <c r="AB69" i="1"/>
  <c r="AG69" i="1"/>
  <c r="AI69" i="1"/>
  <c r="AE69" i="1"/>
  <c r="AA69" i="1"/>
  <c r="AD68" i="1"/>
  <c r="AC68" i="1"/>
  <c r="AH68" i="1"/>
  <c r="AI68" i="1"/>
  <c r="AB68" i="1"/>
  <c r="AG68" i="1"/>
  <c r="AE68" i="1"/>
  <c r="AA68" i="1"/>
  <c r="AC67" i="1"/>
  <c r="AH67" i="1"/>
  <c r="AI67" i="1"/>
  <c r="AB67" i="1"/>
  <c r="AG67" i="1"/>
  <c r="AD67" i="1"/>
  <c r="AE67" i="1"/>
  <c r="AA67" i="1"/>
  <c r="AC66" i="1"/>
  <c r="AH66" i="1"/>
  <c r="AD66" i="1"/>
  <c r="AB66" i="1"/>
  <c r="AG66" i="1"/>
  <c r="AI66" i="1"/>
  <c r="AE66" i="1"/>
  <c r="AA66" i="1"/>
  <c r="AD65" i="1"/>
  <c r="AC65" i="1"/>
  <c r="AH65" i="1"/>
  <c r="AB65" i="1"/>
  <c r="AG65" i="1"/>
  <c r="AI65" i="1"/>
  <c r="AE65" i="1"/>
  <c r="AA65" i="1"/>
  <c r="AD64" i="1"/>
  <c r="AC64" i="1"/>
  <c r="AH64" i="1"/>
  <c r="AB64" i="1"/>
  <c r="AG64" i="1"/>
  <c r="AI64" i="1"/>
  <c r="AE64" i="1"/>
  <c r="AA64" i="1"/>
  <c r="AC63" i="1"/>
  <c r="AH63" i="1"/>
  <c r="AD63" i="1"/>
  <c r="AB63" i="1"/>
  <c r="AG63" i="1"/>
  <c r="AI63" i="1"/>
  <c r="AE63" i="1"/>
  <c r="AA63" i="1"/>
  <c r="AD62" i="1"/>
  <c r="AC62" i="1"/>
  <c r="AH62" i="1"/>
  <c r="AB62" i="1"/>
  <c r="AG62" i="1"/>
  <c r="AI62" i="1"/>
  <c r="AE62" i="1"/>
  <c r="AA62" i="1"/>
  <c r="AD61" i="1"/>
  <c r="AC61" i="1"/>
  <c r="AH61" i="1"/>
  <c r="AB61" i="1"/>
  <c r="AG61" i="1"/>
  <c r="AI61" i="1"/>
  <c r="AE61" i="1"/>
  <c r="AA61" i="1"/>
  <c r="AC60" i="1"/>
  <c r="AH60" i="1"/>
  <c r="AB60" i="1"/>
  <c r="AG60" i="1"/>
  <c r="AD60" i="1"/>
  <c r="AI60" i="1"/>
  <c r="AE60" i="1"/>
  <c r="AA60" i="1"/>
  <c r="AD59" i="1"/>
  <c r="AC59" i="1"/>
  <c r="AH59" i="1"/>
  <c r="AB59" i="1"/>
  <c r="AG59" i="1"/>
  <c r="AI59" i="1"/>
  <c r="Z59" i="1"/>
  <c r="AE59" i="1"/>
  <c r="AA59" i="1"/>
  <c r="AC58" i="1"/>
  <c r="AH58" i="1"/>
  <c r="AD58" i="1"/>
  <c r="AB58" i="1"/>
  <c r="AG58" i="1"/>
  <c r="AI58" i="1"/>
  <c r="AE58" i="1"/>
  <c r="AA58" i="1"/>
  <c r="AC57" i="1"/>
  <c r="AH57" i="1"/>
  <c r="AI57" i="1"/>
  <c r="AB57" i="1"/>
  <c r="AG57" i="1"/>
  <c r="AD57" i="1"/>
  <c r="AE57" i="1"/>
  <c r="AA57" i="1"/>
  <c r="AD56" i="1"/>
  <c r="AC56" i="1"/>
  <c r="AH56" i="1"/>
  <c r="AB56" i="1"/>
  <c r="AG56" i="1"/>
  <c r="AI56" i="1"/>
  <c r="AE56" i="1"/>
  <c r="AA56" i="1"/>
  <c r="AC55" i="1"/>
  <c r="AH55" i="1"/>
  <c r="AD55" i="1"/>
  <c r="AB55" i="1"/>
  <c r="AG55" i="1"/>
  <c r="AI55" i="1"/>
  <c r="AE55" i="1"/>
  <c r="AA55" i="1"/>
  <c r="AC54" i="1"/>
  <c r="AH54" i="1"/>
  <c r="AB54" i="1"/>
  <c r="AG54" i="1"/>
  <c r="AD54" i="1"/>
  <c r="AI54" i="1"/>
  <c r="AE54" i="1"/>
  <c r="AA54" i="1"/>
  <c r="AC53" i="1"/>
  <c r="AH53" i="1"/>
  <c r="AD53" i="1"/>
  <c r="AB53" i="1"/>
  <c r="AG53" i="1"/>
  <c r="AI53" i="1"/>
  <c r="AE53" i="1"/>
  <c r="AA53" i="1"/>
  <c r="AI52" i="1"/>
  <c r="AC52" i="1"/>
  <c r="AH52" i="1"/>
  <c r="AB52" i="1"/>
  <c r="AG52" i="1"/>
  <c r="AD52" i="1"/>
  <c r="AE52" i="1"/>
  <c r="AA52" i="1"/>
  <c r="AC51" i="1"/>
  <c r="AH51" i="1"/>
  <c r="AD51" i="1"/>
  <c r="AI51" i="1"/>
  <c r="AB51" i="1"/>
  <c r="AG51" i="1"/>
  <c r="AE51" i="1"/>
  <c r="AA51" i="1"/>
  <c r="AC50" i="1"/>
  <c r="AH50" i="1"/>
  <c r="AD50" i="1"/>
  <c r="AI50" i="1"/>
  <c r="AB50" i="1"/>
  <c r="AG50" i="1"/>
  <c r="AE50" i="1"/>
  <c r="AA50" i="1"/>
  <c r="AD49" i="1"/>
  <c r="AC49" i="1"/>
  <c r="AH49" i="1"/>
  <c r="AB49" i="1"/>
  <c r="AG49" i="1"/>
  <c r="AI49" i="1"/>
  <c r="AE49" i="1"/>
  <c r="AA49" i="1"/>
  <c r="AC48" i="1"/>
  <c r="AH48" i="1"/>
  <c r="AB48" i="1"/>
  <c r="AG48" i="1"/>
  <c r="AD48" i="1"/>
  <c r="AI48" i="1"/>
  <c r="AE48" i="1"/>
  <c r="AA48" i="1"/>
  <c r="AD47" i="1"/>
  <c r="AC47" i="1"/>
  <c r="AH47" i="1"/>
  <c r="AB47" i="1"/>
  <c r="AG47" i="1"/>
  <c r="AI47" i="1"/>
  <c r="AE47" i="1"/>
  <c r="AA47" i="1"/>
  <c r="AD46" i="1"/>
  <c r="AI46" i="1"/>
  <c r="AH46" i="1"/>
  <c r="AB46" i="1"/>
  <c r="AG46" i="1"/>
  <c r="AC46" i="1"/>
  <c r="AE46" i="1"/>
  <c r="AA46" i="1"/>
  <c r="AC45" i="1"/>
  <c r="AH45" i="1"/>
  <c r="AD45" i="1"/>
  <c r="AI45" i="1"/>
  <c r="AB45" i="1"/>
  <c r="AG45" i="1"/>
  <c r="AE45" i="1"/>
  <c r="AA45" i="1"/>
  <c r="AD44" i="1"/>
  <c r="AI44" i="1"/>
  <c r="Z44" i="1"/>
  <c r="AC44" i="1"/>
  <c r="AH44" i="1"/>
  <c r="AB44" i="1"/>
  <c r="AG44" i="1"/>
  <c r="AE44" i="1"/>
  <c r="AA44" i="1"/>
  <c r="AC43" i="1"/>
  <c r="AH43" i="1"/>
  <c r="AD43" i="1"/>
  <c r="AI43" i="1"/>
  <c r="AB43" i="1"/>
  <c r="AG43" i="1"/>
  <c r="AE43" i="1"/>
  <c r="AA43" i="1"/>
  <c r="AC42" i="1"/>
  <c r="AH42" i="1"/>
  <c r="AD42" i="1"/>
  <c r="AI42" i="1"/>
  <c r="AB42" i="1"/>
  <c r="AG42" i="1"/>
  <c r="AE42" i="1"/>
  <c r="AA42" i="1"/>
  <c r="AC41" i="1"/>
  <c r="AH41" i="1"/>
  <c r="AD41" i="1"/>
  <c r="AB41" i="1"/>
  <c r="AG41" i="1"/>
  <c r="AI41" i="1"/>
  <c r="AE41" i="1"/>
  <c r="AA41" i="1"/>
  <c r="AD40" i="1"/>
  <c r="AC40" i="1"/>
  <c r="AH40" i="1"/>
  <c r="AB40" i="1"/>
  <c r="AG40" i="1"/>
  <c r="AI40" i="1"/>
  <c r="AE40" i="1"/>
  <c r="AA40" i="1"/>
  <c r="AC39" i="1"/>
  <c r="AH39" i="1"/>
  <c r="AD39" i="1"/>
  <c r="AB39" i="1"/>
  <c r="AG39" i="1"/>
  <c r="AI39" i="1"/>
  <c r="AE39" i="1"/>
  <c r="AA39" i="1"/>
  <c r="AC38" i="1"/>
  <c r="AH38" i="1"/>
  <c r="AD38" i="1"/>
  <c r="AB38" i="1"/>
  <c r="AG38" i="1"/>
  <c r="AI38" i="1"/>
  <c r="AE38" i="1"/>
  <c r="AA38" i="1"/>
  <c r="AD37" i="1"/>
  <c r="AC37" i="1"/>
  <c r="AH37" i="1"/>
  <c r="AB37" i="1"/>
  <c r="AG37" i="1"/>
  <c r="AI37" i="1"/>
  <c r="AE37" i="1"/>
  <c r="AA37" i="1"/>
  <c r="AC36" i="1"/>
  <c r="AH36" i="1"/>
  <c r="AB36" i="1"/>
  <c r="AG36" i="1"/>
  <c r="AD36" i="1"/>
  <c r="AI36" i="1"/>
  <c r="AE36" i="1"/>
  <c r="AA36" i="1"/>
  <c r="AD35" i="1"/>
  <c r="AC35" i="1"/>
  <c r="AH35" i="1"/>
  <c r="AI35" i="1"/>
  <c r="AB35" i="1"/>
  <c r="AG35" i="1"/>
  <c r="AE35" i="1"/>
  <c r="AA35" i="1"/>
  <c r="AC34" i="1"/>
  <c r="AH34" i="1"/>
  <c r="AD34" i="1"/>
  <c r="AB34" i="1"/>
  <c r="AG34" i="1"/>
  <c r="AI34" i="1"/>
  <c r="Z34" i="1"/>
  <c r="AE34" i="1"/>
  <c r="AA34" i="1"/>
  <c r="AC33" i="1"/>
  <c r="AH33" i="1"/>
  <c r="AD33" i="1"/>
  <c r="AB33" i="1"/>
  <c r="AG33" i="1"/>
  <c r="AI33" i="1"/>
  <c r="AE33" i="1"/>
  <c r="AA33" i="1"/>
  <c r="AD32" i="1"/>
  <c r="AC32" i="1"/>
  <c r="AH32" i="1"/>
  <c r="AI32" i="1"/>
  <c r="AB32" i="1"/>
  <c r="AG32" i="1"/>
  <c r="AE32" i="1"/>
  <c r="AA32" i="1"/>
  <c r="AC31" i="1"/>
  <c r="AH31" i="1"/>
  <c r="AD31" i="1"/>
  <c r="AB31" i="1"/>
  <c r="AG31" i="1"/>
  <c r="AI31" i="1"/>
  <c r="AE31" i="1"/>
  <c r="AA31" i="1"/>
  <c r="AC30" i="1"/>
  <c r="AH30" i="1"/>
  <c r="AB30" i="1"/>
  <c r="AG30" i="1"/>
  <c r="AD30" i="1"/>
  <c r="AI30" i="1"/>
  <c r="AE30" i="1"/>
  <c r="AA30" i="1"/>
  <c r="AC29" i="1"/>
  <c r="AH29" i="1"/>
  <c r="AD29" i="1"/>
  <c r="AB29" i="1"/>
  <c r="AG29" i="1"/>
  <c r="AI29" i="1"/>
  <c r="AE29" i="1"/>
  <c r="AA29" i="1"/>
  <c r="AC28" i="1"/>
  <c r="AH28" i="1"/>
  <c r="AD28" i="1"/>
  <c r="AB28" i="1"/>
  <c r="AG28" i="1"/>
  <c r="AI28" i="1"/>
  <c r="AE28" i="1"/>
  <c r="AA28" i="1"/>
  <c r="AD27" i="1"/>
  <c r="AC27" i="1"/>
  <c r="AH27" i="1"/>
  <c r="AB27" i="1"/>
  <c r="AG27" i="1"/>
  <c r="AI27" i="1"/>
  <c r="AE27" i="1"/>
  <c r="AA27" i="1"/>
  <c r="AE26" i="1"/>
  <c r="AA26" i="1"/>
  <c r="AF26" i="1"/>
  <c r="AD26" i="1"/>
  <c r="AI26" i="1"/>
  <c r="AC26" i="1"/>
  <c r="AH26" i="1"/>
  <c r="AB26" i="1"/>
  <c r="AC25" i="1"/>
  <c r="AH25" i="1"/>
  <c r="AD25" i="1"/>
  <c r="AB25" i="1"/>
  <c r="AG25" i="1"/>
  <c r="AI25" i="1"/>
  <c r="AE25" i="1"/>
  <c r="AA25" i="1"/>
  <c r="AC24" i="1"/>
  <c r="AH24" i="1"/>
  <c r="AI24" i="1"/>
  <c r="AB24" i="1"/>
  <c r="AG24" i="1"/>
  <c r="AD24" i="1"/>
  <c r="AE24" i="1"/>
  <c r="AA24" i="1"/>
  <c r="AC23" i="1"/>
  <c r="AH23" i="1"/>
  <c r="AB23" i="1"/>
  <c r="AG23" i="1"/>
  <c r="AD23" i="1"/>
  <c r="AI23" i="1"/>
  <c r="AE23" i="1"/>
  <c r="AA23" i="1"/>
  <c r="AC22" i="1"/>
  <c r="AH22" i="1"/>
  <c r="AB22" i="1"/>
  <c r="AG22" i="1"/>
  <c r="AD22" i="1"/>
  <c r="AI22" i="1"/>
  <c r="AE22" i="1"/>
  <c r="AA22" i="1"/>
  <c r="AD21" i="1"/>
  <c r="AC21" i="1"/>
  <c r="AH21" i="1"/>
  <c r="AB21" i="1"/>
  <c r="AG21" i="1"/>
  <c r="AI21" i="1"/>
  <c r="AE21" i="1"/>
  <c r="AA21" i="1"/>
  <c r="AD20" i="1"/>
  <c r="AC20" i="1"/>
  <c r="AH20" i="1"/>
  <c r="AB20" i="1"/>
  <c r="AG20" i="1"/>
  <c r="AI20" i="1"/>
  <c r="AE20" i="1"/>
  <c r="AA20" i="1"/>
  <c r="AC19" i="1"/>
  <c r="AH19" i="1"/>
  <c r="AD19" i="1"/>
  <c r="AB19" i="1"/>
  <c r="AG19" i="1"/>
  <c r="AI19" i="1"/>
  <c r="AE19" i="1"/>
  <c r="AA19" i="1"/>
  <c r="AC18" i="1"/>
  <c r="AH18" i="1"/>
  <c r="AD18" i="1"/>
  <c r="AB18" i="1"/>
  <c r="AG18" i="1"/>
  <c r="AI18" i="1"/>
  <c r="AE18" i="1"/>
  <c r="AA18" i="1"/>
  <c r="AD17" i="1"/>
  <c r="AC17" i="1"/>
  <c r="AH17" i="1"/>
  <c r="AB17" i="1"/>
  <c r="AG17" i="1"/>
  <c r="AI17" i="1"/>
  <c r="AE17" i="1"/>
  <c r="AA17" i="1"/>
  <c r="AC16" i="1"/>
  <c r="AH16" i="1"/>
  <c r="AB16" i="1"/>
  <c r="AG16" i="1"/>
  <c r="AD16" i="1"/>
  <c r="AI16" i="1"/>
  <c r="AE16" i="1"/>
  <c r="AA16" i="1"/>
  <c r="AC15" i="1"/>
  <c r="AH15" i="1"/>
  <c r="AD15" i="1"/>
  <c r="AB15" i="1"/>
  <c r="AG15" i="1"/>
  <c r="AI15" i="1"/>
  <c r="AE15" i="1"/>
  <c r="AA15" i="1"/>
  <c r="AC14" i="1"/>
  <c r="AH14" i="1"/>
  <c r="AD14" i="1"/>
  <c r="AI14" i="1"/>
  <c r="AB14" i="1"/>
  <c r="AG14" i="1"/>
  <c r="AE14" i="1"/>
  <c r="AA14" i="1"/>
  <c r="AC13" i="1"/>
  <c r="AH13" i="1"/>
  <c r="AI13" i="1"/>
  <c r="AB13" i="1"/>
  <c r="AG13" i="1"/>
  <c r="AD13" i="1"/>
  <c r="AE13" i="1"/>
  <c r="AA13" i="1"/>
  <c r="AC12" i="1"/>
  <c r="AH12" i="1"/>
  <c r="AB12" i="1"/>
  <c r="AG12" i="1"/>
  <c r="AD12" i="1"/>
  <c r="AI12" i="1"/>
  <c r="AE12" i="1"/>
  <c r="AA12" i="1"/>
  <c r="AD11" i="1"/>
  <c r="AH11" i="1"/>
  <c r="AB11" i="1"/>
  <c r="AG11" i="1"/>
  <c r="AI11" i="1"/>
  <c r="AC11" i="1"/>
  <c r="AE11" i="1"/>
  <c r="AA11" i="1"/>
  <c r="AC10" i="1"/>
  <c r="AH10" i="1"/>
  <c r="AD10" i="1"/>
  <c r="AI10" i="1"/>
  <c r="AB10" i="1"/>
  <c r="AG10" i="1"/>
  <c r="AE10" i="1"/>
  <c r="AA10" i="1"/>
  <c r="AD9" i="1"/>
  <c r="AC9" i="1"/>
  <c r="AH9" i="1"/>
  <c r="AI9" i="1"/>
  <c r="AB9" i="1"/>
  <c r="AG9" i="1"/>
  <c r="AE9" i="1"/>
  <c r="AA9" i="1"/>
  <c r="AC8" i="1"/>
  <c r="AH8" i="1"/>
  <c r="AB8" i="1"/>
  <c r="AG8" i="1"/>
  <c r="AD8" i="1"/>
  <c r="AI8" i="1"/>
  <c r="AE8" i="1"/>
  <c r="AA8" i="1"/>
  <c r="AC7" i="1"/>
  <c r="AH7" i="1"/>
  <c r="AD7" i="1"/>
  <c r="AB7" i="1"/>
  <c r="AG7" i="1"/>
  <c r="AI7" i="1"/>
  <c r="AE7" i="1"/>
  <c r="AA7" i="1"/>
  <c r="AD6" i="1"/>
  <c r="AC6" i="1"/>
  <c r="AH6" i="1"/>
  <c r="AI6" i="1"/>
  <c r="AB6" i="1"/>
  <c r="AG6" i="1"/>
  <c r="AE6" i="1"/>
  <c r="AA6" i="1"/>
  <c r="AC5" i="1"/>
  <c r="AH5" i="1"/>
  <c r="AB5" i="1"/>
  <c r="AG5" i="1"/>
  <c r="AD5" i="1"/>
  <c r="AI5" i="1"/>
  <c r="AE5" i="1"/>
  <c r="AA5" i="1"/>
  <c r="AD4" i="1"/>
  <c r="AC4" i="1"/>
  <c r="AB4" i="1"/>
  <c r="AE4" i="1"/>
  <c r="AD3" i="1"/>
  <c r="AC3" i="1"/>
  <c r="AB3" i="1"/>
  <c r="AE3" i="1"/>
  <c r="AA2" i="1"/>
  <c r="AD2" i="1"/>
  <c r="AB2" i="1"/>
  <c r="AC2" i="1"/>
  <c r="P124" i="1"/>
  <c r="Z108" i="1"/>
  <c r="P108" i="1"/>
  <c r="P92" i="1"/>
  <c r="P84" i="1"/>
  <c r="Z76" i="1"/>
  <c r="N18" i="1"/>
  <c r="L17" i="1"/>
  <c r="O17" i="1"/>
  <c r="M16" i="1"/>
  <c r="L16" i="1"/>
  <c r="N15" i="1"/>
  <c r="M15" i="1"/>
  <c r="L15" i="1"/>
  <c r="N14" i="1"/>
  <c r="M14" i="1"/>
  <c r="L13" i="1"/>
  <c r="M12" i="1"/>
  <c r="L12" i="1"/>
  <c r="N11" i="1"/>
  <c r="M11" i="1"/>
  <c r="O10" i="1"/>
  <c r="N10" i="1"/>
  <c r="L9" i="1"/>
  <c r="O9" i="1"/>
  <c r="M8" i="1"/>
  <c r="L8" i="1"/>
  <c r="N7" i="1"/>
  <c r="M7" i="1"/>
  <c r="O6" i="1"/>
  <c r="N6" i="1"/>
  <c r="L5" i="1"/>
  <c r="O5" i="1"/>
  <c r="M4" i="1"/>
  <c r="L4" i="1"/>
  <c r="N3" i="1"/>
  <c r="M3" i="1"/>
  <c r="N169" i="1"/>
  <c r="P169" i="1"/>
  <c r="M169" i="1"/>
  <c r="L169" i="1"/>
  <c r="P168" i="1"/>
  <c r="N168" i="1"/>
  <c r="M168" i="1"/>
  <c r="L168" i="1"/>
  <c r="N167" i="1"/>
  <c r="Z167" i="1"/>
  <c r="AJ167" i="1" s="1"/>
  <c r="M167" i="1"/>
  <c r="L167" i="1"/>
  <c r="P167" i="1"/>
  <c r="M166" i="1"/>
  <c r="P166" i="1"/>
  <c r="L166" i="1"/>
  <c r="N166" i="1"/>
  <c r="N165" i="1"/>
  <c r="P165" i="1"/>
  <c r="M165" i="1"/>
  <c r="L165" i="1"/>
  <c r="P164" i="1"/>
  <c r="N164" i="1"/>
  <c r="M164" i="1"/>
  <c r="L164" i="1"/>
  <c r="P163" i="1"/>
  <c r="N163" i="1"/>
  <c r="M163" i="1"/>
  <c r="L163" i="1"/>
  <c r="M162" i="1"/>
  <c r="N162" i="1"/>
  <c r="P162" i="1"/>
  <c r="L162" i="1"/>
  <c r="Z162" i="1"/>
  <c r="N161" i="1"/>
  <c r="P161" i="1"/>
  <c r="M161" i="1"/>
  <c r="L161" i="1"/>
  <c r="P160" i="1"/>
  <c r="N160" i="1"/>
  <c r="M160" i="1"/>
  <c r="L160" i="1"/>
  <c r="P159" i="1"/>
  <c r="N159" i="1"/>
  <c r="M159" i="1"/>
  <c r="L159" i="1"/>
  <c r="M158" i="1"/>
  <c r="N158" i="1"/>
  <c r="P158" i="1"/>
  <c r="L158" i="1"/>
  <c r="P157" i="1"/>
  <c r="N157" i="1"/>
  <c r="M157" i="1"/>
  <c r="L157" i="1"/>
  <c r="Z156" i="1"/>
  <c r="AJ156" i="1" s="1"/>
  <c r="P156" i="1"/>
  <c r="N156" i="1"/>
  <c r="M156" i="1"/>
  <c r="L156" i="1"/>
  <c r="Z155" i="1"/>
  <c r="AJ155" i="1" s="1"/>
  <c r="P155" i="1"/>
  <c r="N155" i="1"/>
  <c r="M155" i="1"/>
  <c r="L155" i="1"/>
  <c r="M154" i="1"/>
  <c r="P154" i="1"/>
  <c r="L154" i="1"/>
  <c r="N154" i="1"/>
  <c r="P153" i="1"/>
  <c r="N153" i="1"/>
  <c r="M153" i="1"/>
  <c r="L153" i="1"/>
  <c r="P152" i="1"/>
  <c r="N152" i="1"/>
  <c r="M152" i="1"/>
  <c r="L152" i="1"/>
  <c r="Z151" i="1"/>
  <c r="P151" i="1"/>
  <c r="N151" i="1"/>
  <c r="M151" i="1"/>
  <c r="L151" i="1"/>
  <c r="N150" i="1"/>
  <c r="M150" i="1"/>
  <c r="P150" i="1"/>
  <c r="L150" i="1"/>
  <c r="P149" i="1"/>
  <c r="N149" i="1"/>
  <c r="M149" i="1"/>
  <c r="L149" i="1"/>
  <c r="P148" i="1"/>
  <c r="N148" i="1"/>
  <c r="M148" i="1"/>
  <c r="L148" i="1"/>
  <c r="P147" i="1"/>
  <c r="N147" i="1"/>
  <c r="M147" i="1"/>
  <c r="L147" i="1"/>
  <c r="N146" i="1"/>
  <c r="M146" i="1"/>
  <c r="P146" i="1"/>
  <c r="L146" i="1"/>
  <c r="P145" i="1"/>
  <c r="N145" i="1"/>
  <c r="M145" i="1"/>
  <c r="L145" i="1"/>
  <c r="P144" i="1"/>
  <c r="N144" i="1"/>
  <c r="M144" i="1"/>
  <c r="L144" i="1"/>
  <c r="P143" i="1"/>
  <c r="N143" i="1"/>
  <c r="M143" i="1"/>
  <c r="L143" i="1"/>
  <c r="N142" i="1"/>
  <c r="M142" i="1"/>
  <c r="P142" i="1"/>
  <c r="L142" i="1"/>
  <c r="P141" i="1"/>
  <c r="N141" i="1"/>
  <c r="M141" i="1"/>
  <c r="L141" i="1"/>
  <c r="Z140" i="1"/>
  <c r="AJ140" i="1" s="1"/>
  <c r="P140" i="1"/>
  <c r="N140" i="1"/>
  <c r="M140" i="1"/>
  <c r="L140" i="1"/>
  <c r="Z139" i="1"/>
  <c r="AJ139" i="1" s="1"/>
  <c r="P139" i="1"/>
  <c r="N139" i="1"/>
  <c r="M139" i="1"/>
  <c r="L139" i="1"/>
  <c r="M138" i="1"/>
  <c r="P138" i="1"/>
  <c r="L138" i="1"/>
  <c r="N138" i="1"/>
  <c r="N137" i="1"/>
  <c r="P137" i="1"/>
  <c r="M137" i="1"/>
  <c r="L137" i="1"/>
  <c r="P136" i="1"/>
  <c r="N136" i="1"/>
  <c r="M136" i="1"/>
  <c r="L136" i="1"/>
  <c r="Z135" i="1"/>
  <c r="P135" i="1"/>
  <c r="N135" i="1"/>
  <c r="M135" i="1"/>
  <c r="L135" i="1"/>
  <c r="M134" i="1"/>
  <c r="P134" i="1"/>
  <c r="L134" i="1"/>
  <c r="N134" i="1"/>
  <c r="P133" i="1"/>
  <c r="N133" i="1"/>
  <c r="M133" i="1"/>
  <c r="L133" i="1"/>
  <c r="P132" i="1"/>
  <c r="N132" i="1"/>
  <c r="M132" i="1"/>
  <c r="L132" i="1"/>
  <c r="N131" i="1"/>
  <c r="M131" i="1"/>
  <c r="L131" i="1"/>
  <c r="Z130" i="1"/>
  <c r="M130" i="1"/>
  <c r="N130" i="1"/>
  <c r="L130" i="1"/>
  <c r="P130" i="1"/>
  <c r="N129" i="1"/>
  <c r="M129" i="1"/>
  <c r="L129" i="1"/>
  <c r="P129" i="1"/>
  <c r="P128" i="1"/>
  <c r="N128" i="1"/>
  <c r="M128" i="1"/>
  <c r="L128" i="1"/>
  <c r="N127" i="1"/>
  <c r="M127" i="1"/>
  <c r="L127" i="1"/>
  <c r="P126" i="1"/>
  <c r="N126" i="1"/>
  <c r="M126" i="1"/>
  <c r="L126" i="1"/>
  <c r="N125" i="1"/>
  <c r="M125" i="1"/>
  <c r="L125" i="1"/>
  <c r="Z124" i="1"/>
  <c r="AJ124" i="1" s="1"/>
  <c r="N124" i="1"/>
  <c r="M124" i="1"/>
  <c r="L124" i="1"/>
  <c r="Z123" i="1"/>
  <c r="AJ123" i="1" s="1"/>
  <c r="P123" i="1"/>
  <c r="N123" i="1"/>
  <c r="M123" i="1"/>
  <c r="L123" i="1"/>
  <c r="P122" i="1"/>
  <c r="L122" i="1"/>
  <c r="N122" i="1"/>
  <c r="M122" i="1"/>
  <c r="P121" i="1"/>
  <c r="N121" i="1"/>
  <c r="M121" i="1"/>
  <c r="L121" i="1"/>
  <c r="P120" i="1"/>
  <c r="N120" i="1"/>
  <c r="M120" i="1"/>
  <c r="L120" i="1"/>
  <c r="Z119" i="1"/>
  <c r="AJ119" i="1" s="1"/>
  <c r="P119" i="1"/>
  <c r="N119" i="1"/>
  <c r="M119" i="1"/>
  <c r="L119" i="1"/>
  <c r="M118" i="1"/>
  <c r="N118" i="1"/>
  <c r="P118" i="1"/>
  <c r="L118" i="1"/>
  <c r="N117" i="1"/>
  <c r="P117" i="1"/>
  <c r="M117" i="1"/>
  <c r="L117" i="1"/>
  <c r="P116" i="1"/>
  <c r="N116" i="1"/>
  <c r="M116" i="1"/>
  <c r="L116" i="1"/>
  <c r="N115" i="1"/>
  <c r="M115" i="1"/>
  <c r="L115" i="1"/>
  <c r="N114" i="1"/>
  <c r="M114" i="1"/>
  <c r="L114" i="1"/>
  <c r="P114" i="1"/>
  <c r="P113" i="1"/>
  <c r="N113" i="1"/>
  <c r="M113" i="1"/>
  <c r="L113" i="1"/>
  <c r="P112" i="1"/>
  <c r="N112" i="1"/>
  <c r="M112" i="1"/>
  <c r="L112" i="1"/>
  <c r="N111" i="1"/>
  <c r="M111" i="1"/>
  <c r="L111" i="1"/>
  <c r="P110" i="1"/>
  <c r="M110" i="1"/>
  <c r="L110" i="1"/>
  <c r="N110" i="1"/>
  <c r="N109" i="1"/>
  <c r="M109" i="1"/>
  <c r="L109" i="1"/>
  <c r="N108" i="1"/>
  <c r="M108" i="1"/>
  <c r="L108" i="1"/>
  <c r="Z107" i="1"/>
  <c r="AJ107" i="1" s="1"/>
  <c r="N107" i="1"/>
  <c r="M107" i="1"/>
  <c r="L107" i="1"/>
  <c r="N106" i="1"/>
  <c r="M106" i="1"/>
  <c r="L106" i="1"/>
  <c r="P106" i="1"/>
  <c r="N105" i="1"/>
  <c r="P105" i="1"/>
  <c r="M105" i="1"/>
  <c r="L105" i="1"/>
  <c r="P104" i="1"/>
  <c r="N104" i="1"/>
  <c r="M104" i="1"/>
  <c r="L104" i="1"/>
  <c r="N103" i="1"/>
  <c r="M103" i="1"/>
  <c r="L103" i="1"/>
  <c r="P102" i="1"/>
  <c r="M102" i="1"/>
  <c r="N102" i="1"/>
  <c r="L102" i="1"/>
  <c r="N101" i="1"/>
  <c r="M101" i="1"/>
  <c r="L101" i="1"/>
  <c r="P100" i="1"/>
  <c r="N100" i="1"/>
  <c r="M100" i="1"/>
  <c r="L100" i="1"/>
  <c r="P99" i="1"/>
  <c r="N99" i="1"/>
  <c r="M99" i="1"/>
  <c r="L99" i="1"/>
  <c r="Z98" i="1"/>
  <c r="AJ98" i="1" s="1"/>
  <c r="P98" i="1"/>
  <c r="M98" i="1"/>
  <c r="N98" i="1"/>
  <c r="L98" i="1"/>
  <c r="P97" i="1"/>
  <c r="N97" i="1"/>
  <c r="M97" i="1"/>
  <c r="L97" i="1"/>
  <c r="P96" i="1"/>
  <c r="N96" i="1"/>
  <c r="M96" i="1"/>
  <c r="L96" i="1"/>
  <c r="P95" i="1"/>
  <c r="N95" i="1"/>
  <c r="M95" i="1"/>
  <c r="L95" i="1"/>
  <c r="P94" i="1"/>
  <c r="M94" i="1"/>
  <c r="N94" i="1"/>
  <c r="L94" i="1"/>
  <c r="P93" i="1"/>
  <c r="N93" i="1"/>
  <c r="M93" i="1"/>
  <c r="L93" i="1"/>
  <c r="Z92" i="1"/>
  <c r="N92" i="1"/>
  <c r="M92" i="1"/>
  <c r="L92" i="1"/>
  <c r="P91" i="1"/>
  <c r="N91" i="1"/>
  <c r="M91" i="1"/>
  <c r="L91" i="1"/>
  <c r="N90" i="1"/>
  <c r="M90" i="1"/>
  <c r="P90" i="1"/>
  <c r="L90" i="1"/>
  <c r="P89" i="1"/>
  <c r="N89" i="1"/>
  <c r="M89" i="1"/>
  <c r="L89" i="1"/>
  <c r="Z87" i="1"/>
  <c r="N87" i="1"/>
  <c r="M87" i="1"/>
  <c r="L87" i="1"/>
  <c r="P88" i="1"/>
  <c r="N88" i="1"/>
  <c r="M88" i="1"/>
  <c r="L88" i="1"/>
  <c r="M86" i="1"/>
  <c r="N86" i="1"/>
  <c r="L86" i="1"/>
  <c r="P86" i="1"/>
  <c r="P85" i="1"/>
  <c r="N85" i="1"/>
  <c r="M85" i="1"/>
  <c r="L85" i="1"/>
  <c r="N84" i="1"/>
  <c r="M84" i="1"/>
  <c r="L84" i="1"/>
  <c r="P83" i="1"/>
  <c r="M83" i="1"/>
  <c r="L83" i="1"/>
  <c r="N83" i="1"/>
  <c r="P82" i="1"/>
  <c r="M82" i="1"/>
  <c r="L82" i="1"/>
  <c r="N82" i="1"/>
  <c r="N81" i="1"/>
  <c r="M81" i="1"/>
  <c r="L81" i="1"/>
  <c r="N80" i="1"/>
  <c r="M80" i="1"/>
  <c r="L80" i="1"/>
  <c r="N79" i="1"/>
  <c r="M79" i="1"/>
  <c r="L79" i="1"/>
  <c r="N78" i="1"/>
  <c r="M78" i="1"/>
  <c r="L78" i="1"/>
  <c r="P78" i="1"/>
  <c r="P77" i="1"/>
  <c r="N77" i="1"/>
  <c r="M77" i="1"/>
  <c r="L77" i="1"/>
  <c r="P76" i="1"/>
  <c r="N76" i="1"/>
  <c r="M76" i="1"/>
  <c r="L76" i="1"/>
  <c r="N75" i="1"/>
  <c r="M75" i="1"/>
  <c r="L75" i="1"/>
  <c r="P74" i="1"/>
  <c r="M74" i="1"/>
  <c r="L74" i="1"/>
  <c r="N74" i="1"/>
  <c r="N73" i="1"/>
  <c r="M73" i="1"/>
  <c r="L73" i="1"/>
  <c r="N72" i="1"/>
  <c r="M72" i="1"/>
  <c r="L72" i="1"/>
  <c r="N71" i="1"/>
  <c r="M71" i="1"/>
  <c r="L71" i="1"/>
  <c r="M70" i="1"/>
  <c r="L70" i="1"/>
  <c r="N70" i="1"/>
  <c r="P70" i="1"/>
  <c r="P69" i="1"/>
  <c r="N69" i="1"/>
  <c r="M69" i="1"/>
  <c r="L69" i="1"/>
  <c r="P68" i="1"/>
  <c r="N68" i="1"/>
  <c r="M68" i="1"/>
  <c r="L68" i="1"/>
  <c r="N67" i="1"/>
  <c r="M67" i="1"/>
  <c r="L67" i="1"/>
  <c r="P66" i="1"/>
  <c r="M66" i="1"/>
  <c r="L66" i="1"/>
  <c r="N66" i="1"/>
  <c r="Z66" i="1"/>
  <c r="AJ66" i="1" s="1"/>
  <c r="N65" i="1"/>
  <c r="M65" i="1"/>
  <c r="L65" i="1"/>
  <c r="P64" i="1"/>
  <c r="N64" i="1"/>
  <c r="M64" i="1"/>
  <c r="L64" i="1"/>
  <c r="P63" i="1"/>
  <c r="N63" i="1"/>
  <c r="M63" i="1"/>
  <c r="L63" i="1"/>
  <c r="N62" i="1"/>
  <c r="P62" i="1"/>
  <c r="M62" i="1"/>
  <c r="L62" i="1"/>
  <c r="P61" i="1"/>
  <c r="N61" i="1"/>
  <c r="M61" i="1"/>
  <c r="L61" i="1"/>
  <c r="N60" i="1"/>
  <c r="M60" i="1"/>
  <c r="L60" i="1"/>
  <c r="N59" i="1"/>
  <c r="M59" i="1"/>
  <c r="L59" i="1"/>
  <c r="M58" i="1"/>
  <c r="L58" i="1"/>
  <c r="N58" i="1"/>
  <c r="P58" i="1"/>
  <c r="P57" i="1"/>
  <c r="N57" i="1"/>
  <c r="M57" i="1"/>
  <c r="L57" i="1"/>
  <c r="P56" i="1"/>
  <c r="N56" i="1"/>
  <c r="M56" i="1"/>
  <c r="L56" i="1"/>
  <c r="N55" i="1"/>
  <c r="M55" i="1"/>
  <c r="L55" i="1"/>
  <c r="P54" i="1"/>
  <c r="M54" i="1"/>
  <c r="L54" i="1"/>
  <c r="N54" i="1"/>
  <c r="P52" i="1"/>
  <c r="O52" i="1"/>
  <c r="N52" i="1"/>
  <c r="M52" i="1"/>
  <c r="O51" i="1"/>
  <c r="P51" i="1"/>
  <c r="N51" i="1"/>
  <c r="M51" i="1"/>
  <c r="O49" i="1"/>
  <c r="N49" i="1"/>
  <c r="M49" i="1"/>
  <c r="O48" i="1"/>
  <c r="N48" i="1"/>
  <c r="M48" i="1"/>
  <c r="P47" i="1"/>
  <c r="L47" i="1"/>
  <c r="N47" i="1"/>
  <c r="O47" i="1"/>
  <c r="P46" i="1"/>
  <c r="O46" i="1"/>
  <c r="N46" i="1"/>
  <c r="M46" i="1"/>
  <c r="P45" i="1"/>
  <c r="O45" i="1"/>
  <c r="N45" i="1"/>
  <c r="M45" i="1"/>
  <c r="O44" i="1"/>
  <c r="N44" i="1"/>
  <c r="M44" i="1"/>
  <c r="Z43" i="1"/>
  <c r="AJ43" i="1" s="1"/>
  <c r="P43" i="1"/>
  <c r="N43" i="1"/>
  <c r="O43" i="1"/>
  <c r="M43" i="1"/>
  <c r="O42" i="1"/>
  <c r="N42" i="1"/>
  <c r="M42" i="1"/>
  <c r="O41" i="1"/>
  <c r="N41" i="1"/>
  <c r="M41" i="1"/>
  <c r="O40" i="1"/>
  <c r="N40" i="1"/>
  <c r="M40" i="1"/>
  <c r="O39" i="1"/>
  <c r="N39" i="1"/>
  <c r="M39" i="1"/>
  <c r="Z39" i="1"/>
  <c r="AJ39" i="1" s="1"/>
  <c r="P39" i="1"/>
  <c r="P38" i="1"/>
  <c r="O38" i="1"/>
  <c r="N38" i="1"/>
  <c r="M38" i="1"/>
  <c r="P37" i="1"/>
  <c r="O37" i="1"/>
  <c r="N37" i="1"/>
  <c r="M37" i="1"/>
  <c r="O36" i="1"/>
  <c r="N36" i="1"/>
  <c r="M36" i="1"/>
  <c r="P35" i="1"/>
  <c r="O35" i="1"/>
  <c r="N35" i="1"/>
  <c r="M35" i="1"/>
  <c r="O34" i="1"/>
  <c r="N34" i="1"/>
  <c r="M34" i="1"/>
  <c r="O33" i="1"/>
  <c r="N33" i="1"/>
  <c r="M33" i="1"/>
  <c r="O32" i="1"/>
  <c r="N32" i="1"/>
  <c r="M32" i="1"/>
  <c r="N31" i="1"/>
  <c r="M31" i="1"/>
  <c r="O31" i="1"/>
  <c r="P31" i="1"/>
  <c r="P30" i="1"/>
  <c r="O30" i="1"/>
  <c r="N30" i="1"/>
  <c r="M30" i="1"/>
  <c r="P29" i="1"/>
  <c r="O29" i="1"/>
  <c r="N29" i="1"/>
  <c r="M29" i="1"/>
  <c r="Z28" i="1"/>
  <c r="AJ28" i="1" s="1"/>
  <c r="O28" i="1"/>
  <c r="N28" i="1"/>
  <c r="M28" i="1"/>
  <c r="P27" i="1"/>
  <c r="Z27" i="1"/>
  <c r="N27" i="1"/>
  <c r="O27" i="1"/>
  <c r="M27" i="1"/>
  <c r="O26" i="1"/>
  <c r="N26" i="1"/>
  <c r="M26" i="1"/>
  <c r="P25" i="1"/>
  <c r="O25" i="1"/>
  <c r="N25" i="1"/>
  <c r="M25" i="1"/>
  <c r="P24" i="1"/>
  <c r="O24" i="1"/>
  <c r="N24" i="1"/>
  <c r="M24" i="1"/>
  <c r="P23" i="1"/>
  <c r="N23" i="1"/>
  <c r="Z23" i="1"/>
  <c r="AJ23" i="1" s="1"/>
  <c r="M23" i="1"/>
  <c r="O23" i="1"/>
  <c r="P22" i="1"/>
  <c r="O22" i="1"/>
  <c r="N22" i="1"/>
  <c r="M22" i="1"/>
  <c r="O21" i="1"/>
  <c r="N21" i="1"/>
  <c r="M21" i="1"/>
  <c r="O20" i="1"/>
  <c r="N20" i="1"/>
  <c r="M20" i="1"/>
  <c r="N19" i="1"/>
  <c r="M19" i="1"/>
  <c r="O19" i="1"/>
  <c r="P19" i="1"/>
  <c r="Z138" i="1"/>
  <c r="AJ138" i="1" s="1"/>
  <c r="Z106" i="1"/>
  <c r="AJ106" i="1" s="1"/>
  <c r="Z74" i="1"/>
  <c r="AJ74" i="1" s="1"/>
  <c r="Z54" i="1"/>
  <c r="AJ54" i="1" s="1"/>
  <c r="Z42" i="1"/>
  <c r="AJ42" i="1" s="1"/>
  <c r="Z22" i="1"/>
  <c r="AJ22" i="1" s="1"/>
  <c r="Z150" i="1"/>
  <c r="AJ150" i="1" s="1"/>
  <c r="Z118" i="1"/>
  <c r="AJ118" i="1" s="1"/>
  <c r="Z86" i="1"/>
  <c r="Z146" i="1"/>
  <c r="Z114" i="1"/>
  <c r="AJ114" i="1" s="1"/>
  <c r="Z82" i="1"/>
  <c r="AJ82" i="1" s="1"/>
  <c r="Z50" i="1"/>
  <c r="AJ50" i="1" s="1"/>
  <c r="Z166" i="1"/>
  <c r="Z154" i="1"/>
  <c r="Z134" i="1"/>
  <c r="AJ134" i="1" s="1"/>
  <c r="Z122" i="1"/>
  <c r="AJ122" i="1" s="1"/>
  <c r="Z102" i="1"/>
  <c r="AJ102" i="1" s="1"/>
  <c r="Z90" i="1"/>
  <c r="AJ90" i="1" s="1"/>
  <c r="Z70" i="1"/>
  <c r="AJ70" i="1" s="1"/>
  <c r="Z58" i="1"/>
  <c r="AJ58" i="1" s="1"/>
  <c r="Z38" i="1"/>
  <c r="Z26" i="1"/>
  <c r="AJ26" i="1" s="1"/>
  <c r="AJ92" i="1"/>
  <c r="AJ86" i="1"/>
  <c r="AJ60" i="1"/>
  <c r="AJ151" i="1"/>
  <c r="AJ27" i="1"/>
  <c r="AJ154" i="1"/>
  <c r="AJ135" i="1"/>
  <c r="AJ91" i="1"/>
  <c r="AJ59" i="1"/>
  <c r="AJ108" i="1"/>
  <c r="AJ76" i="1"/>
  <c r="AJ44" i="1"/>
  <c r="AJ162" i="1"/>
  <c r="AJ130" i="1"/>
  <c r="AJ87" i="1"/>
  <c r="AJ55" i="1"/>
  <c r="AJ34" i="1"/>
  <c r="Z18" i="1"/>
  <c r="P18" i="1"/>
  <c r="P17" i="1"/>
  <c r="P16" i="1"/>
  <c r="P15" i="1"/>
  <c r="P14" i="1"/>
  <c r="P13" i="1"/>
  <c r="Z12" i="1"/>
  <c r="P12" i="1"/>
  <c r="P11" i="1"/>
  <c r="Z11" i="1"/>
  <c r="Z10" i="1"/>
  <c r="P10" i="1"/>
  <c r="P9" i="1"/>
  <c r="P8" i="1"/>
  <c r="P7" i="1"/>
  <c r="Z7" i="1"/>
  <c r="Z6" i="1"/>
  <c r="P6" i="1"/>
  <c r="P5" i="1"/>
  <c r="P4" i="1"/>
  <c r="P3" i="1"/>
  <c r="P2" i="1"/>
  <c r="Z165" i="1"/>
  <c r="Z161" i="1"/>
  <c r="Z157" i="1"/>
  <c r="Z153" i="1"/>
  <c r="Z149" i="1"/>
  <c r="Z145" i="1"/>
  <c r="Z141" i="1"/>
  <c r="Z137" i="1"/>
  <c r="Z133" i="1"/>
  <c r="Z129" i="1"/>
  <c r="Z125" i="1"/>
  <c r="Z121" i="1"/>
  <c r="Z117" i="1"/>
  <c r="Z113" i="1"/>
  <c r="Z109" i="1"/>
  <c r="Z105" i="1"/>
  <c r="Z101" i="1"/>
  <c r="Z97" i="1"/>
  <c r="Z93" i="1"/>
  <c r="Z89" i="1"/>
  <c r="Z85" i="1"/>
  <c r="Z81" i="1"/>
  <c r="Z77" i="1"/>
  <c r="Z73" i="1"/>
  <c r="Z69" i="1"/>
  <c r="Z65" i="1"/>
  <c r="Z61" i="1"/>
  <c r="Z57" i="1"/>
  <c r="Z53" i="1"/>
  <c r="Z49" i="1"/>
  <c r="Z45" i="1"/>
  <c r="Z41" i="1"/>
  <c r="Z37" i="1"/>
  <c r="Z33" i="1"/>
  <c r="Z29" i="1"/>
  <c r="Z25" i="1"/>
  <c r="Z21" i="1"/>
  <c r="Z17" i="1"/>
  <c r="Z13" i="1"/>
  <c r="Z9" i="1"/>
  <c r="Z5" i="1"/>
  <c r="Z160" i="1"/>
  <c r="Z144" i="1"/>
  <c r="Z128" i="1"/>
  <c r="Z112" i="1"/>
  <c r="Z96" i="1"/>
  <c r="Z80" i="1"/>
  <c r="Z64" i="1"/>
  <c r="Z48" i="1"/>
  <c r="Z32" i="1"/>
  <c r="Z16" i="1"/>
  <c r="Z169" i="1"/>
  <c r="Z164" i="1"/>
  <c r="Z159" i="1"/>
  <c r="Z148" i="1"/>
  <c r="Z143" i="1"/>
  <c r="Z132" i="1"/>
  <c r="Z127" i="1"/>
  <c r="Z116" i="1"/>
  <c r="Z111" i="1"/>
  <c r="Z100" i="1"/>
  <c r="Z95" i="1"/>
  <c r="Z84" i="1"/>
  <c r="Z79" i="1"/>
  <c r="Z68" i="1"/>
  <c r="Z63" i="1"/>
  <c r="Z52" i="1"/>
  <c r="Z47" i="1"/>
  <c r="Z36" i="1"/>
  <c r="Z31" i="1"/>
  <c r="Z20" i="1"/>
  <c r="Z15" i="1"/>
  <c r="Z3" i="1"/>
  <c r="Z168" i="1"/>
  <c r="Z163" i="1"/>
  <c r="Z158" i="1"/>
  <c r="Z152" i="1"/>
  <c r="Z147" i="1"/>
  <c r="Z142" i="1"/>
  <c r="Z136" i="1"/>
  <c r="Z131" i="1"/>
  <c r="Z126" i="1"/>
  <c r="Z120" i="1"/>
  <c r="Z115" i="1"/>
  <c r="Z110" i="1"/>
  <c r="Z104" i="1"/>
  <c r="Z99" i="1"/>
  <c r="Z94" i="1"/>
  <c r="Z88" i="1"/>
  <c r="Z83" i="1"/>
  <c r="Z78" i="1"/>
  <c r="Z72" i="1"/>
  <c r="Z67" i="1"/>
  <c r="Z62" i="1"/>
  <c r="Z56" i="1"/>
  <c r="Z51" i="1"/>
  <c r="Z46" i="1"/>
  <c r="Z40" i="1"/>
  <c r="Z35" i="1"/>
  <c r="Z30" i="1"/>
  <c r="Z24" i="1"/>
  <c r="Z19" i="1"/>
  <c r="Z14" i="1"/>
  <c r="Z8" i="1"/>
  <c r="Z4" i="1"/>
  <c r="AJ166" i="1" l="1"/>
  <c r="AJ38" i="1"/>
  <c r="AJ146" i="1"/>
  <c r="AJ88" i="1"/>
  <c r="AJ131" i="1"/>
  <c r="AJ152" i="1"/>
  <c r="AJ36" i="1"/>
  <c r="AJ68" i="1"/>
  <c r="AJ100" i="1"/>
  <c r="AJ132" i="1"/>
  <c r="AJ164" i="1"/>
  <c r="AJ48" i="1"/>
  <c r="AJ112" i="1"/>
  <c r="AJ21" i="1"/>
  <c r="AJ37" i="1"/>
  <c r="AJ53" i="1"/>
  <c r="AJ69" i="1"/>
  <c r="AJ85" i="1"/>
  <c r="AJ101" i="1"/>
  <c r="AJ117" i="1"/>
  <c r="AJ133" i="1"/>
  <c r="AJ149" i="1"/>
  <c r="AJ165" i="1"/>
  <c r="AJ24" i="1"/>
  <c r="AJ51" i="1"/>
  <c r="AJ47" i="1"/>
  <c r="AJ169" i="1"/>
  <c r="AJ25" i="1"/>
  <c r="AJ89" i="1"/>
  <c r="AJ121" i="1"/>
  <c r="AJ153" i="1"/>
  <c r="AJ46" i="1"/>
  <c r="AJ110" i="1"/>
  <c r="AJ30" i="1"/>
  <c r="AJ94" i="1"/>
  <c r="AJ115" i="1"/>
  <c r="AJ158" i="1"/>
  <c r="AJ79" i="1"/>
  <c r="AJ143" i="1"/>
  <c r="AJ64" i="1"/>
  <c r="AJ41" i="1"/>
  <c r="AJ73" i="1"/>
  <c r="AJ105" i="1"/>
  <c r="AJ137" i="1"/>
  <c r="AJ99" i="1"/>
  <c r="AJ80" i="1"/>
  <c r="AJ109" i="1"/>
  <c r="AJ67" i="1"/>
  <c r="AJ72" i="1"/>
  <c r="AJ136" i="1"/>
  <c r="AJ111" i="1"/>
  <c r="AJ128" i="1"/>
  <c r="AJ57" i="1"/>
  <c r="AJ35" i="1"/>
  <c r="AJ56" i="1"/>
  <c r="AJ78" i="1"/>
  <c r="AJ120" i="1"/>
  <c r="AJ142" i="1"/>
  <c r="AJ163" i="1"/>
  <c r="AJ20" i="1"/>
  <c r="AJ52" i="1"/>
  <c r="AJ84" i="1"/>
  <c r="AJ116" i="1"/>
  <c r="AJ148" i="1"/>
  <c r="AJ144" i="1"/>
  <c r="AJ29" i="1"/>
  <c r="AJ45" i="1"/>
  <c r="AJ61" i="1"/>
  <c r="AJ77" i="1"/>
  <c r="AJ93" i="1"/>
  <c r="AJ125" i="1"/>
  <c r="AJ141" i="1"/>
  <c r="AJ157" i="1"/>
  <c r="AJ19" i="1"/>
  <c r="AJ40" i="1"/>
  <c r="AJ62" i="1"/>
  <c r="AJ83" i="1"/>
  <c r="AJ104" i="1"/>
  <c r="AJ126" i="1"/>
  <c r="AJ147" i="1"/>
  <c r="AJ168" i="1"/>
  <c r="AJ31" i="1"/>
  <c r="AJ63" i="1"/>
  <c r="AJ95" i="1"/>
  <c r="AJ127" i="1"/>
  <c r="AJ159" i="1"/>
  <c r="AJ32" i="1"/>
  <c r="AJ96" i="1"/>
  <c r="AJ160" i="1"/>
  <c r="AJ33" i="1"/>
  <c r="AJ49" i="1"/>
  <c r="AJ65" i="1"/>
  <c r="AJ81" i="1"/>
  <c r="AJ97" i="1"/>
  <c r="AJ113" i="1"/>
  <c r="AJ129" i="1"/>
  <c r="AJ145" i="1"/>
  <c r="AJ161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J3" i="1"/>
  <c r="Z2" i="1"/>
  <c r="AJ2" i="1" s="1"/>
  <c r="AE2" i="1"/>
</calcChain>
</file>

<file path=xl/sharedStrings.xml><?xml version="1.0" encoding="utf-8"?>
<sst xmlns="http://schemas.openxmlformats.org/spreadsheetml/2006/main" count="204" uniqueCount="60">
  <si>
    <t>DateTime</t>
  </si>
  <si>
    <t>Hour</t>
  </si>
  <si>
    <t>911_10</t>
  </si>
  <si>
    <t>911_15</t>
  </si>
  <si>
    <t>911_20</t>
  </si>
  <si>
    <t>911_40</t>
  </si>
  <si>
    <t>911_60</t>
  </si>
  <si>
    <t>911_120</t>
  </si>
  <si>
    <t>911_121</t>
  </si>
  <si>
    <t>911_AB</t>
  </si>
  <si>
    <t>911_T</t>
  </si>
  <si>
    <t>911_PCT_10</t>
  </si>
  <si>
    <t>911_PCT_15</t>
  </si>
  <si>
    <t>911_PCT_20</t>
  </si>
  <si>
    <t>911_PCT_40</t>
  </si>
  <si>
    <t>911_PCT_AB</t>
  </si>
  <si>
    <t>ADM_10</t>
  </si>
  <si>
    <t>ADM_15</t>
  </si>
  <si>
    <t>ADM_20</t>
  </si>
  <si>
    <t>ADM_40</t>
  </si>
  <si>
    <t>ADM_60</t>
  </si>
  <si>
    <t>ADM_120</t>
  </si>
  <si>
    <t>ADM_121</t>
  </si>
  <si>
    <t>ADM_AB</t>
  </si>
  <si>
    <t>ADM_T</t>
  </si>
  <si>
    <t>Total</t>
  </si>
  <si>
    <t>ADM_PCT_10</t>
  </si>
  <si>
    <t>PCT_ADM_15</t>
  </si>
  <si>
    <t>ADM_PCT_20</t>
  </si>
  <si>
    <t>ADM_PCT_40</t>
  </si>
  <si>
    <t>ADM_PCT_AB</t>
  </si>
  <si>
    <t>TTL_PCT_10</t>
  </si>
  <si>
    <t>TTL_PCT_15</t>
  </si>
  <si>
    <t>TTL_PCT_20</t>
  </si>
  <si>
    <t>TTL_PCT_40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</si>
  <si>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</si>
  <si>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</si>
  <si>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</si>
  <si>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</si>
  <si>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</si>
  <si>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</si>
  <si>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</si>
  <si>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</si>
  <si>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</si>
  <si>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</si>
  <si>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</si>
  <si>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</si>
  <si>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</si>
  <si>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</si>
  <si>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</si>
  <si>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</si>
  <si>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</si>
  <si>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</si>
  <si>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</si>
  <si>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</si>
  <si>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</si>
  <si>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</si>
  <si>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</si>
  <si>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</si>
  <si>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TTL_PCT_AB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</si>
</sst>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64F7D-63C0-49CD-947E-6319497AE444}">
  <dimension ref="A1:AJ169"/>
  <sheetViews>
    <sheetView tabSelected="1" workbookViewId="0">
      <pane ySplit="1" topLeftCell="A2" activePane="bottomLeft" state="frozen"/>
      <selection pane="bottomLeft" activeCell="X170" sqref="X170"/>
    </sheetView>
  </sheetViews>
  <sheetFormatPr defaultRowHeight="15" x14ac:dyDescent="0.25"/>
  <cols>
    <col min="1" max="1" width="15.5703125" bestFit="1" customWidth="1"/>
    <col min="2" max="2" width="5.28515625" bestFit="1" customWidth="1"/>
    <col min="3" max="7" width="6.85546875" bestFit="1" customWidth="1"/>
    <col min="8" max="9" width="7.85546875" bestFit="1" customWidth="1"/>
    <col min="10" max="10" width="7.140625" bestFit="1" customWidth="1"/>
    <col min="11" max="11" width="5.85546875" bestFit="1" customWidth="1"/>
    <col min="12" max="16" width="12" bestFit="1" customWidth="1"/>
    <col min="17" max="21" width="7.85546875" bestFit="1" customWidth="1"/>
    <col min="22" max="23" width="8.85546875" bestFit="1" customWidth="1"/>
    <col min="24" max="24" width="8.140625" bestFit="1" customWidth="1"/>
    <col min="25" max="25" width="6.85546875" bestFit="1" customWidth="1"/>
    <col min="26" max="26" width="5.42578125" bestFit="1" customWidth="1"/>
    <col min="27" max="30" width="12" bestFit="1" customWidth="1"/>
    <col min="31" max="31" width="12.28515625" bestFit="1" customWidth="1"/>
    <col min="32" max="35" width="12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59</v>
      </c>
    </row>
    <row r="2" spans="1:36" x14ac:dyDescent="0.25">
      <c r="A2" s="1">
        <v>45970</v>
      </c>
      <c r="B2" s="2" t="s">
        <v>35</v>
      </c>
      <c r="C2">
        <v>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>SUM(C2:J2)</f>
        <v>5</v>
      </c>
      <c r="L2">
        <f>ROUND(C2/(K2-J2), 4)</f>
        <v>1</v>
      </c>
      <c r="M2">
        <f>ROUND((SUM(C2:D2)/(K2-J2)), 4)</f>
        <v>1</v>
      </c>
      <c r="N2">
        <f>ROUND(SUM(C2:E2)/(K2-J2), 4)</f>
        <v>1</v>
      </c>
      <c r="O2">
        <f>ROUND(SUM(C2:F2)/(K2-J2), 4)</f>
        <v>1</v>
      </c>
      <c r="P2">
        <f>ROUND(J2/K2, 4)</f>
        <v>0</v>
      </c>
      <c r="Q2">
        <v>6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f>SUM(Q2:X2)</f>
        <v>7</v>
      </c>
      <c r="Z2">
        <f>SUM(K2,Y2)</f>
        <v>12</v>
      </c>
      <c r="AA2">
        <f>ROUND(Q2/(Y2-X2), 4)</f>
        <v>0.85709999999999997</v>
      </c>
      <c r="AB2">
        <f>ROUND(SUM(Q2:R2)/(Y2-X2), 4)</f>
        <v>1</v>
      </c>
      <c r="AC2">
        <f>ROUND(SUM(Q2:S2)/(Y2-X2), 4)</f>
        <v>1</v>
      </c>
      <c r="AD2">
        <f>ROUND(SUM(Q2:T2)/(Y2-X2), 4)</f>
        <v>1</v>
      </c>
      <c r="AE2">
        <f>ROUND(X2/Y2, 4)</f>
        <v>0</v>
      </c>
      <c r="AF2">
        <f>ROUND(SUM(C2,Q2)/SUM((K2-J2),(Y2-X2)), 4)</f>
        <v>0.91669999999999996</v>
      </c>
      <c r="AG2">
        <f>ROUND(SUM(C2:D2,Q2:R2)/SUM((K2-J2),(Y2-X2)), 4)</f>
        <v>1</v>
      </c>
      <c r="AH2">
        <f>ROUND(SUM(C2:E2,Q2:S2)/SUM((K2-J2),(Y2-X2)), 4)</f>
        <v>1</v>
      </c>
      <c r="AI2">
        <f>ROUND(SUM(C2:F2,Q2:T2)/SUM((K2-J2),(Y2-X2)), 4)</f>
        <v>1</v>
      </c>
      <c r="AJ2">
        <f>ROUND(SUM(J2,X2)/Z2, 4)</f>
        <v>0</v>
      </c>
    </row>
    <row r="3" spans="1:36" x14ac:dyDescent="0.25">
      <c r="A3" s="1">
        <v>45970.041666666664</v>
      </c>
      <c r="B3" s="2" t="s">
        <v>36</v>
      </c>
      <c r="C3">
        <v>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f t="shared" ref="K3:K66" si="0">SUM(C3:J3)</f>
        <v>6</v>
      </c>
      <c r="L3">
        <f t="shared" ref="L3:L66" si="1">ROUND(C3/(K3-J3), 4)</f>
        <v>1</v>
      </c>
      <c r="M3">
        <f t="shared" ref="M3:M66" si="2">ROUND((SUM(C3:D3)/(K3-J3)), 4)</f>
        <v>1</v>
      </c>
      <c r="N3">
        <f t="shared" ref="N3:N66" si="3">ROUND(SUM(C3:E3)/(K3-J3), 4)</f>
        <v>1</v>
      </c>
      <c r="O3">
        <f t="shared" ref="O3:O66" si="4">ROUND(SUM(C3:F3)/(K3-J3), 4)</f>
        <v>1</v>
      </c>
      <c r="P3">
        <f t="shared" ref="P3:P66" si="5">ROUND(J3/K3, 4)</f>
        <v>0.16669999999999999</v>
      </c>
      <c r="Q3">
        <v>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f t="shared" ref="Y3:Y66" si="6">SUM(Q3:X3)</f>
        <v>5</v>
      </c>
      <c r="Z3">
        <f t="shared" ref="Z3:Z66" si="7">SUM(K3,Y3)</f>
        <v>11</v>
      </c>
      <c r="AA3">
        <f t="shared" ref="AA3:AA66" si="8">ROUND(Q3/(Y3-X3), 4)</f>
        <v>1</v>
      </c>
      <c r="AB3">
        <f t="shared" ref="AB3:AB66" si="9">ROUND(SUM(Q3:R3)/(Y3-X3), 4)</f>
        <v>1</v>
      </c>
      <c r="AC3">
        <f t="shared" ref="AC3:AC66" si="10">ROUND(SUM(Q3:S3)/(Y3-X3), 4)</f>
        <v>1</v>
      </c>
      <c r="AD3">
        <f t="shared" ref="AD3:AD66" si="11">ROUND(SUM(Q3:T3)/(Y3-X3), 4)</f>
        <v>1</v>
      </c>
      <c r="AE3">
        <f t="shared" ref="AE3:AE66" si="12">ROUND(X3/Y3, 4)</f>
        <v>0</v>
      </c>
      <c r="AF3">
        <f t="shared" ref="AF3:AF66" si="13">ROUND(SUM(C3,Q3)/SUM((K3-J3),(Y3-X3)), 4)</f>
        <v>1</v>
      </c>
      <c r="AG3">
        <f t="shared" ref="AG3:AG66" si="14">ROUND(SUM(C3:D3,Q3:R3)/SUM((K3-J3),(Y3-X3)), 4)</f>
        <v>1</v>
      </c>
      <c r="AH3">
        <f t="shared" ref="AH3:AH66" si="15">ROUND(SUM(C3:E3,Q3:S3)/SUM((K3-J3),(Y3-X3)), 4)</f>
        <v>1</v>
      </c>
      <c r="AI3">
        <f t="shared" ref="AI3:AI66" si="16">ROUND(SUM(C3:F3,Q3:T3)/SUM((K3-J3),(Y3-X3)), 4)</f>
        <v>1</v>
      </c>
      <c r="AJ3">
        <f t="shared" ref="AJ3:AJ66" si="17">ROUND(SUM(J3,X3)/Z3, 4)</f>
        <v>9.0899999999999995E-2</v>
      </c>
    </row>
    <row r="4" spans="1:36" x14ac:dyDescent="0.25">
      <c r="A4" s="1">
        <v>45970.083333333336</v>
      </c>
      <c r="B4" s="2" t="s">
        <v>37</v>
      </c>
      <c r="C4">
        <v>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f t="shared" si="0"/>
        <v>8</v>
      </c>
      <c r="L4">
        <f t="shared" si="1"/>
        <v>1</v>
      </c>
      <c r="M4">
        <f t="shared" si="2"/>
        <v>1</v>
      </c>
      <c r="N4">
        <f t="shared" si="3"/>
        <v>1</v>
      </c>
      <c r="O4">
        <f t="shared" si="4"/>
        <v>1</v>
      </c>
      <c r="P4">
        <f t="shared" si="5"/>
        <v>0.125</v>
      </c>
      <c r="Q4">
        <v>13</v>
      </c>
      <c r="R4">
        <v>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f t="shared" si="6"/>
        <v>15</v>
      </c>
      <c r="Z4">
        <f t="shared" si="7"/>
        <v>23</v>
      </c>
      <c r="AA4">
        <f t="shared" si="8"/>
        <v>0.86670000000000003</v>
      </c>
      <c r="AB4">
        <f t="shared" si="9"/>
        <v>1</v>
      </c>
      <c r="AC4">
        <f t="shared" si="10"/>
        <v>1</v>
      </c>
      <c r="AD4">
        <f t="shared" si="11"/>
        <v>1</v>
      </c>
      <c r="AE4">
        <f t="shared" si="12"/>
        <v>0</v>
      </c>
      <c r="AF4">
        <f t="shared" si="13"/>
        <v>0.90910000000000002</v>
      </c>
      <c r="AG4">
        <f t="shared" si="14"/>
        <v>1</v>
      </c>
      <c r="AH4">
        <f t="shared" si="15"/>
        <v>1</v>
      </c>
      <c r="AI4">
        <f t="shared" si="16"/>
        <v>1</v>
      </c>
      <c r="AJ4">
        <f t="shared" si="17"/>
        <v>4.3499999999999997E-2</v>
      </c>
    </row>
    <row r="5" spans="1:36" x14ac:dyDescent="0.25">
      <c r="A5" s="1">
        <v>45970.125</v>
      </c>
      <c r="B5" s="2" t="s">
        <v>38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f t="shared" si="0"/>
        <v>4</v>
      </c>
      <c r="L5">
        <f t="shared" si="1"/>
        <v>1</v>
      </c>
      <c r="M5">
        <f t="shared" si="2"/>
        <v>1</v>
      </c>
      <c r="N5">
        <f t="shared" si="3"/>
        <v>1</v>
      </c>
      <c r="O5">
        <f t="shared" si="4"/>
        <v>1</v>
      </c>
      <c r="P5">
        <f t="shared" si="5"/>
        <v>0.25</v>
      </c>
      <c r="Q5">
        <v>6</v>
      </c>
      <c r="R5">
        <v>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f t="shared" si="6"/>
        <v>8</v>
      </c>
      <c r="Z5">
        <f t="shared" si="7"/>
        <v>12</v>
      </c>
      <c r="AA5">
        <f t="shared" si="8"/>
        <v>0.75</v>
      </c>
      <c r="AB5">
        <f t="shared" si="9"/>
        <v>1</v>
      </c>
      <c r="AC5">
        <f t="shared" si="10"/>
        <v>1</v>
      </c>
      <c r="AD5">
        <f t="shared" si="11"/>
        <v>1</v>
      </c>
      <c r="AE5">
        <f t="shared" si="12"/>
        <v>0</v>
      </c>
      <c r="AF5">
        <f t="shared" si="13"/>
        <v>0.81820000000000004</v>
      </c>
      <c r="AG5">
        <f t="shared" si="14"/>
        <v>1</v>
      </c>
      <c r="AH5">
        <f t="shared" si="15"/>
        <v>1</v>
      </c>
      <c r="AI5">
        <f t="shared" si="16"/>
        <v>1</v>
      </c>
      <c r="AJ5">
        <f t="shared" si="17"/>
        <v>8.3299999999999999E-2</v>
      </c>
    </row>
    <row r="6" spans="1:36" x14ac:dyDescent="0.25">
      <c r="A6" s="1">
        <v>45970.166666666664</v>
      </c>
      <c r="B6" s="2" t="s">
        <v>39</v>
      </c>
      <c r="C6">
        <v>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f t="shared" si="0"/>
        <v>3</v>
      </c>
      <c r="L6">
        <f t="shared" si="1"/>
        <v>1</v>
      </c>
      <c r="M6">
        <f t="shared" si="2"/>
        <v>1</v>
      </c>
      <c r="N6">
        <f t="shared" si="3"/>
        <v>1</v>
      </c>
      <c r="O6">
        <f t="shared" si="4"/>
        <v>1</v>
      </c>
      <c r="P6">
        <f t="shared" si="5"/>
        <v>0</v>
      </c>
      <c r="Q6">
        <v>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f t="shared" si="6"/>
        <v>7</v>
      </c>
      <c r="Z6">
        <f t="shared" si="7"/>
        <v>10</v>
      </c>
      <c r="AA6">
        <f t="shared" si="8"/>
        <v>1</v>
      </c>
      <c r="AB6">
        <f t="shared" si="9"/>
        <v>1</v>
      </c>
      <c r="AC6">
        <f t="shared" si="10"/>
        <v>1</v>
      </c>
      <c r="AD6">
        <f t="shared" si="11"/>
        <v>1</v>
      </c>
      <c r="AE6">
        <f t="shared" si="12"/>
        <v>0</v>
      </c>
      <c r="AF6">
        <f t="shared" si="13"/>
        <v>1</v>
      </c>
      <c r="AG6">
        <f t="shared" si="14"/>
        <v>1</v>
      </c>
      <c r="AH6">
        <f t="shared" si="15"/>
        <v>1</v>
      </c>
      <c r="AI6">
        <f t="shared" si="16"/>
        <v>1</v>
      </c>
      <c r="AJ6">
        <f t="shared" si="17"/>
        <v>0</v>
      </c>
    </row>
    <row r="7" spans="1:36" x14ac:dyDescent="0.25">
      <c r="A7" s="1">
        <v>45970.208333333336</v>
      </c>
      <c r="B7" s="2" t="s">
        <v>40</v>
      </c>
      <c r="C7">
        <v>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f t="shared" si="0"/>
        <v>4</v>
      </c>
      <c r="L7">
        <f t="shared" si="1"/>
        <v>1</v>
      </c>
      <c r="M7">
        <f t="shared" si="2"/>
        <v>1</v>
      </c>
      <c r="N7">
        <f t="shared" si="3"/>
        <v>1</v>
      </c>
      <c r="O7">
        <f t="shared" si="4"/>
        <v>1</v>
      </c>
      <c r="P7">
        <f t="shared" si="5"/>
        <v>0.25</v>
      </c>
      <c r="Q7">
        <v>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f t="shared" si="6"/>
        <v>6</v>
      </c>
      <c r="Z7">
        <f t="shared" si="7"/>
        <v>10</v>
      </c>
      <c r="AA7">
        <f t="shared" si="8"/>
        <v>1</v>
      </c>
      <c r="AB7">
        <f t="shared" si="9"/>
        <v>1</v>
      </c>
      <c r="AC7">
        <f t="shared" si="10"/>
        <v>1</v>
      </c>
      <c r="AD7">
        <f t="shared" si="11"/>
        <v>1</v>
      </c>
      <c r="AE7">
        <f t="shared" si="12"/>
        <v>0</v>
      </c>
      <c r="AF7">
        <f t="shared" si="13"/>
        <v>1</v>
      </c>
      <c r="AG7">
        <f t="shared" si="14"/>
        <v>1</v>
      </c>
      <c r="AH7">
        <f t="shared" si="15"/>
        <v>1</v>
      </c>
      <c r="AI7">
        <f t="shared" si="16"/>
        <v>1</v>
      </c>
      <c r="AJ7">
        <f t="shared" si="17"/>
        <v>0.1</v>
      </c>
    </row>
    <row r="8" spans="1:36" x14ac:dyDescent="0.25">
      <c r="A8" s="1">
        <v>45970.25</v>
      </c>
      <c r="B8" s="2" t="s">
        <v>41</v>
      </c>
      <c r="C8">
        <v>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f t="shared" si="0"/>
        <v>6</v>
      </c>
      <c r="L8">
        <f t="shared" si="1"/>
        <v>1</v>
      </c>
      <c r="M8">
        <f t="shared" si="2"/>
        <v>1</v>
      </c>
      <c r="N8">
        <f t="shared" si="3"/>
        <v>1</v>
      </c>
      <c r="O8">
        <f t="shared" si="4"/>
        <v>1</v>
      </c>
      <c r="P8">
        <f t="shared" si="5"/>
        <v>0.16669999999999999</v>
      </c>
      <c r="Q8">
        <v>7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f t="shared" si="6"/>
        <v>7</v>
      </c>
      <c r="Z8">
        <f t="shared" si="7"/>
        <v>13</v>
      </c>
      <c r="AA8">
        <f t="shared" si="8"/>
        <v>1</v>
      </c>
      <c r="AB8">
        <f t="shared" si="9"/>
        <v>1</v>
      </c>
      <c r="AC8">
        <f t="shared" si="10"/>
        <v>1</v>
      </c>
      <c r="AD8">
        <f t="shared" si="11"/>
        <v>1</v>
      </c>
      <c r="AE8">
        <f t="shared" si="12"/>
        <v>0</v>
      </c>
      <c r="AF8">
        <f t="shared" si="13"/>
        <v>1</v>
      </c>
      <c r="AG8">
        <f t="shared" si="14"/>
        <v>1</v>
      </c>
      <c r="AH8">
        <f t="shared" si="15"/>
        <v>1</v>
      </c>
      <c r="AI8">
        <f t="shared" si="16"/>
        <v>1</v>
      </c>
      <c r="AJ8">
        <f t="shared" si="17"/>
        <v>7.6899999999999996E-2</v>
      </c>
    </row>
    <row r="9" spans="1:36" x14ac:dyDescent="0.25">
      <c r="A9" s="1">
        <v>45970.291666666664</v>
      </c>
      <c r="B9" s="2" t="s">
        <v>42</v>
      </c>
      <c r="C9">
        <v>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f t="shared" si="0"/>
        <v>3</v>
      </c>
      <c r="L9">
        <f t="shared" si="1"/>
        <v>1</v>
      </c>
      <c r="M9">
        <f t="shared" si="2"/>
        <v>1</v>
      </c>
      <c r="N9">
        <f t="shared" si="3"/>
        <v>1</v>
      </c>
      <c r="O9">
        <f t="shared" si="4"/>
        <v>1</v>
      </c>
      <c r="P9">
        <f t="shared" si="5"/>
        <v>0</v>
      </c>
      <c r="Q9">
        <v>7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f t="shared" si="6"/>
        <v>8</v>
      </c>
      <c r="Z9">
        <f t="shared" si="7"/>
        <v>11</v>
      </c>
      <c r="AA9">
        <f t="shared" si="8"/>
        <v>0.875</v>
      </c>
      <c r="AB9">
        <f t="shared" si="9"/>
        <v>0.875</v>
      </c>
      <c r="AC9">
        <f t="shared" si="10"/>
        <v>1</v>
      </c>
      <c r="AD9">
        <f t="shared" si="11"/>
        <v>1</v>
      </c>
      <c r="AE9">
        <f t="shared" si="12"/>
        <v>0</v>
      </c>
      <c r="AF9">
        <f t="shared" si="13"/>
        <v>0.90910000000000002</v>
      </c>
      <c r="AG9">
        <f t="shared" si="14"/>
        <v>0.90910000000000002</v>
      </c>
      <c r="AH9">
        <f t="shared" si="15"/>
        <v>1</v>
      </c>
      <c r="AI9">
        <f t="shared" si="16"/>
        <v>1</v>
      </c>
      <c r="AJ9">
        <f t="shared" si="17"/>
        <v>0</v>
      </c>
    </row>
    <row r="10" spans="1:36" x14ac:dyDescent="0.25">
      <c r="A10" s="1">
        <v>45970.333333333336</v>
      </c>
      <c r="B10" s="2" t="s">
        <v>43</v>
      </c>
      <c r="C10">
        <v>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f t="shared" si="0"/>
        <v>5</v>
      </c>
      <c r="L10">
        <f t="shared" si="1"/>
        <v>1</v>
      </c>
      <c r="M10">
        <f t="shared" si="2"/>
        <v>1</v>
      </c>
      <c r="N10">
        <f t="shared" si="3"/>
        <v>1</v>
      </c>
      <c r="O10">
        <f t="shared" si="4"/>
        <v>1</v>
      </c>
      <c r="P10">
        <f t="shared" si="5"/>
        <v>0.2</v>
      </c>
      <c r="Q10">
        <v>9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f t="shared" si="6"/>
        <v>11</v>
      </c>
      <c r="Z10">
        <f t="shared" si="7"/>
        <v>16</v>
      </c>
      <c r="AA10">
        <f t="shared" si="8"/>
        <v>0.81820000000000004</v>
      </c>
      <c r="AB10">
        <f t="shared" si="9"/>
        <v>0.90910000000000002</v>
      </c>
      <c r="AC10">
        <f t="shared" si="10"/>
        <v>1</v>
      </c>
      <c r="AD10">
        <f t="shared" si="11"/>
        <v>1</v>
      </c>
      <c r="AE10">
        <f t="shared" si="12"/>
        <v>0</v>
      </c>
      <c r="AF10">
        <f t="shared" si="13"/>
        <v>0.86670000000000003</v>
      </c>
      <c r="AG10">
        <f t="shared" si="14"/>
        <v>0.93330000000000002</v>
      </c>
      <c r="AH10">
        <f t="shared" si="15"/>
        <v>1</v>
      </c>
      <c r="AI10">
        <f t="shared" si="16"/>
        <v>1</v>
      </c>
      <c r="AJ10">
        <f t="shared" si="17"/>
        <v>6.25E-2</v>
      </c>
    </row>
    <row r="11" spans="1:36" x14ac:dyDescent="0.25">
      <c r="A11" s="1">
        <v>45970.375</v>
      </c>
      <c r="B11" s="2" t="s">
        <v>44</v>
      </c>
      <c r="C11">
        <v>5</v>
      </c>
      <c r="D11">
        <v>2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f t="shared" si="0"/>
        <v>8</v>
      </c>
      <c r="L11">
        <f t="shared" si="1"/>
        <v>0.625</v>
      </c>
      <c r="M11">
        <f t="shared" si="2"/>
        <v>0.875</v>
      </c>
      <c r="N11">
        <f t="shared" si="3"/>
        <v>0.875</v>
      </c>
      <c r="O11">
        <f t="shared" si="4"/>
        <v>1</v>
      </c>
      <c r="P11">
        <f t="shared" si="5"/>
        <v>0</v>
      </c>
      <c r="Q11">
        <v>11</v>
      </c>
      <c r="R11">
        <v>1</v>
      </c>
      <c r="S11">
        <v>1</v>
      </c>
      <c r="T11">
        <v>1</v>
      </c>
      <c r="U11">
        <v>0</v>
      </c>
      <c r="V11">
        <v>0</v>
      </c>
      <c r="W11">
        <v>0</v>
      </c>
      <c r="X11">
        <v>0</v>
      </c>
      <c r="Y11">
        <f t="shared" si="6"/>
        <v>14</v>
      </c>
      <c r="Z11">
        <f t="shared" si="7"/>
        <v>22</v>
      </c>
      <c r="AA11">
        <f t="shared" si="8"/>
        <v>0.78569999999999995</v>
      </c>
      <c r="AB11">
        <f t="shared" si="9"/>
        <v>0.85709999999999997</v>
      </c>
      <c r="AC11">
        <f t="shared" si="10"/>
        <v>0.92859999999999998</v>
      </c>
      <c r="AD11">
        <f t="shared" si="11"/>
        <v>1</v>
      </c>
      <c r="AE11">
        <f t="shared" si="12"/>
        <v>0</v>
      </c>
      <c r="AF11">
        <f t="shared" si="13"/>
        <v>0.72729999999999995</v>
      </c>
      <c r="AG11">
        <f t="shared" si="14"/>
        <v>0.86360000000000003</v>
      </c>
      <c r="AH11">
        <f t="shared" si="15"/>
        <v>0.90910000000000002</v>
      </c>
      <c r="AI11">
        <f t="shared" si="16"/>
        <v>1</v>
      </c>
      <c r="AJ11">
        <f t="shared" si="17"/>
        <v>0</v>
      </c>
    </row>
    <row r="12" spans="1:36" x14ac:dyDescent="0.25">
      <c r="A12" s="1">
        <v>45970.416666666664</v>
      </c>
      <c r="B12" s="2" t="s">
        <v>45</v>
      </c>
      <c r="C12">
        <v>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f t="shared" si="0"/>
        <v>3</v>
      </c>
      <c r="L12">
        <f t="shared" si="1"/>
        <v>1</v>
      </c>
      <c r="M12">
        <f t="shared" si="2"/>
        <v>1</v>
      </c>
      <c r="N12">
        <f t="shared" si="3"/>
        <v>1</v>
      </c>
      <c r="O12">
        <f t="shared" si="4"/>
        <v>1</v>
      </c>
      <c r="P12">
        <f t="shared" si="5"/>
        <v>0.33329999999999999</v>
      </c>
      <c r="Q12">
        <v>12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f t="shared" si="6"/>
        <v>13</v>
      </c>
      <c r="Z12">
        <f t="shared" si="7"/>
        <v>16</v>
      </c>
      <c r="AA12">
        <f t="shared" si="8"/>
        <v>0.92310000000000003</v>
      </c>
      <c r="AB12">
        <f t="shared" si="9"/>
        <v>1</v>
      </c>
      <c r="AC12">
        <f t="shared" si="10"/>
        <v>1</v>
      </c>
      <c r="AD12">
        <f t="shared" si="11"/>
        <v>1</v>
      </c>
      <c r="AE12">
        <f t="shared" si="12"/>
        <v>0</v>
      </c>
      <c r="AF12">
        <f t="shared" si="13"/>
        <v>0.93330000000000002</v>
      </c>
      <c r="AG12">
        <f t="shared" si="14"/>
        <v>1</v>
      </c>
      <c r="AH12">
        <f t="shared" si="15"/>
        <v>1</v>
      </c>
      <c r="AI12">
        <f t="shared" si="16"/>
        <v>1</v>
      </c>
      <c r="AJ12">
        <f t="shared" si="17"/>
        <v>6.25E-2</v>
      </c>
    </row>
    <row r="13" spans="1:36" x14ac:dyDescent="0.25">
      <c r="A13" s="1">
        <v>45970.458333333336</v>
      </c>
      <c r="B13" s="2" t="s">
        <v>46</v>
      </c>
      <c r="C13">
        <v>4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1</v>
      </c>
      <c r="K13">
        <f t="shared" si="0"/>
        <v>7</v>
      </c>
      <c r="L13">
        <f t="shared" si="1"/>
        <v>0.66669999999999996</v>
      </c>
      <c r="M13">
        <f t="shared" si="2"/>
        <v>0.83330000000000004</v>
      </c>
      <c r="N13">
        <f t="shared" si="3"/>
        <v>1</v>
      </c>
      <c r="O13">
        <f t="shared" si="4"/>
        <v>1</v>
      </c>
      <c r="P13">
        <f t="shared" si="5"/>
        <v>0.1429</v>
      </c>
      <c r="Q13">
        <v>8</v>
      </c>
      <c r="R13">
        <v>4</v>
      </c>
      <c r="S13">
        <v>3</v>
      </c>
      <c r="T13">
        <v>3</v>
      </c>
      <c r="U13">
        <v>1</v>
      </c>
      <c r="V13">
        <v>0</v>
      </c>
      <c r="W13">
        <v>0</v>
      </c>
      <c r="X13">
        <v>1</v>
      </c>
      <c r="Y13">
        <f t="shared" si="6"/>
        <v>20</v>
      </c>
      <c r="Z13">
        <f t="shared" si="7"/>
        <v>27</v>
      </c>
      <c r="AA13">
        <f t="shared" si="8"/>
        <v>0.42109999999999997</v>
      </c>
      <c r="AB13">
        <f t="shared" si="9"/>
        <v>0.63160000000000005</v>
      </c>
      <c r="AC13">
        <f t="shared" si="10"/>
        <v>0.78949999999999998</v>
      </c>
      <c r="AD13">
        <f t="shared" si="11"/>
        <v>0.94740000000000002</v>
      </c>
      <c r="AE13">
        <f t="shared" si="12"/>
        <v>0.05</v>
      </c>
      <c r="AF13">
        <f t="shared" si="13"/>
        <v>0.48</v>
      </c>
      <c r="AG13">
        <f t="shared" si="14"/>
        <v>0.68</v>
      </c>
      <c r="AH13">
        <f t="shared" si="15"/>
        <v>0.84</v>
      </c>
      <c r="AI13">
        <f t="shared" si="16"/>
        <v>0.96</v>
      </c>
      <c r="AJ13">
        <f t="shared" si="17"/>
        <v>7.4099999999999999E-2</v>
      </c>
    </row>
    <row r="14" spans="1:36" x14ac:dyDescent="0.25">
      <c r="A14" s="1">
        <v>45970.5</v>
      </c>
      <c r="B14" s="2" t="s">
        <v>47</v>
      </c>
      <c r="C14">
        <v>3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f t="shared" si="0"/>
        <v>5</v>
      </c>
      <c r="L14">
        <f t="shared" si="1"/>
        <v>0.75</v>
      </c>
      <c r="M14">
        <f t="shared" si="2"/>
        <v>1</v>
      </c>
      <c r="N14">
        <f t="shared" si="3"/>
        <v>1</v>
      </c>
      <c r="O14">
        <f t="shared" si="4"/>
        <v>1</v>
      </c>
      <c r="P14">
        <f t="shared" si="5"/>
        <v>0.2</v>
      </c>
      <c r="Q14">
        <v>12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f t="shared" si="6"/>
        <v>14</v>
      </c>
      <c r="Z14">
        <f t="shared" si="7"/>
        <v>19</v>
      </c>
      <c r="AA14">
        <f t="shared" si="8"/>
        <v>0.85709999999999997</v>
      </c>
      <c r="AB14">
        <f t="shared" si="9"/>
        <v>0.92859999999999998</v>
      </c>
      <c r="AC14">
        <f t="shared" si="10"/>
        <v>1</v>
      </c>
      <c r="AD14">
        <f t="shared" si="11"/>
        <v>1</v>
      </c>
      <c r="AE14">
        <f t="shared" si="12"/>
        <v>0</v>
      </c>
      <c r="AF14">
        <f t="shared" si="13"/>
        <v>0.83330000000000004</v>
      </c>
      <c r="AG14">
        <f t="shared" si="14"/>
        <v>0.94440000000000002</v>
      </c>
      <c r="AH14">
        <f t="shared" si="15"/>
        <v>1</v>
      </c>
      <c r="AI14">
        <f t="shared" si="16"/>
        <v>1</v>
      </c>
      <c r="AJ14">
        <f t="shared" si="17"/>
        <v>5.2600000000000001E-2</v>
      </c>
    </row>
    <row r="15" spans="1:36" x14ac:dyDescent="0.25">
      <c r="A15" s="1">
        <v>45970.541666666664</v>
      </c>
      <c r="B15" s="2" t="s">
        <v>48</v>
      </c>
      <c r="C15">
        <v>6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f t="shared" si="0"/>
        <v>8</v>
      </c>
      <c r="L15">
        <f t="shared" si="1"/>
        <v>0.75</v>
      </c>
      <c r="M15">
        <f t="shared" si="2"/>
        <v>0.875</v>
      </c>
      <c r="N15">
        <f t="shared" si="3"/>
        <v>0.875</v>
      </c>
      <c r="O15">
        <f t="shared" si="4"/>
        <v>1</v>
      </c>
      <c r="P15">
        <f t="shared" si="5"/>
        <v>0</v>
      </c>
      <c r="Q15">
        <v>9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1</v>
      </c>
      <c r="Y15">
        <f t="shared" si="6"/>
        <v>16</v>
      </c>
      <c r="Z15">
        <f t="shared" si="7"/>
        <v>24</v>
      </c>
      <c r="AA15">
        <f t="shared" si="8"/>
        <v>0.6</v>
      </c>
      <c r="AB15">
        <f t="shared" si="9"/>
        <v>0.86670000000000003</v>
      </c>
      <c r="AC15">
        <f t="shared" si="10"/>
        <v>0.93330000000000002</v>
      </c>
      <c r="AD15">
        <f t="shared" si="11"/>
        <v>0.93330000000000002</v>
      </c>
      <c r="AE15">
        <f t="shared" si="12"/>
        <v>6.25E-2</v>
      </c>
      <c r="AF15">
        <f t="shared" si="13"/>
        <v>0.6522</v>
      </c>
      <c r="AG15">
        <f t="shared" si="14"/>
        <v>0.86960000000000004</v>
      </c>
      <c r="AH15">
        <f t="shared" si="15"/>
        <v>0.91300000000000003</v>
      </c>
      <c r="AI15">
        <f t="shared" si="16"/>
        <v>0.95650000000000002</v>
      </c>
      <c r="AJ15">
        <f t="shared" si="17"/>
        <v>4.1700000000000001E-2</v>
      </c>
    </row>
    <row r="16" spans="1:36" x14ac:dyDescent="0.25">
      <c r="A16" s="1">
        <v>45970.583333333336</v>
      </c>
      <c r="B16" s="2" t="s">
        <v>49</v>
      </c>
      <c r="C16">
        <v>13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f t="shared" si="0"/>
        <v>15</v>
      </c>
      <c r="L16">
        <f t="shared" si="1"/>
        <v>0.92859999999999998</v>
      </c>
      <c r="M16">
        <f t="shared" si="2"/>
        <v>1</v>
      </c>
      <c r="N16">
        <f t="shared" si="3"/>
        <v>1</v>
      </c>
      <c r="O16">
        <f t="shared" si="4"/>
        <v>1</v>
      </c>
      <c r="P16">
        <f t="shared" si="5"/>
        <v>6.6699999999999995E-2</v>
      </c>
      <c r="Q16">
        <v>12</v>
      </c>
      <c r="R16">
        <v>1</v>
      </c>
      <c r="S16">
        <v>0</v>
      </c>
      <c r="T16">
        <v>2</v>
      </c>
      <c r="U16">
        <v>0</v>
      </c>
      <c r="V16">
        <v>0</v>
      </c>
      <c r="W16">
        <v>0</v>
      </c>
      <c r="X16">
        <v>0</v>
      </c>
      <c r="Y16">
        <f t="shared" si="6"/>
        <v>15</v>
      </c>
      <c r="Z16">
        <f t="shared" si="7"/>
        <v>30</v>
      </c>
      <c r="AA16">
        <f t="shared" si="8"/>
        <v>0.8</v>
      </c>
      <c r="AB16">
        <f t="shared" si="9"/>
        <v>0.86670000000000003</v>
      </c>
      <c r="AC16">
        <f t="shared" si="10"/>
        <v>0.86670000000000003</v>
      </c>
      <c r="AD16">
        <f t="shared" si="11"/>
        <v>1</v>
      </c>
      <c r="AE16">
        <f t="shared" si="12"/>
        <v>0</v>
      </c>
      <c r="AF16">
        <f t="shared" si="13"/>
        <v>0.86209999999999998</v>
      </c>
      <c r="AG16">
        <f t="shared" si="14"/>
        <v>0.93100000000000005</v>
      </c>
      <c r="AH16">
        <f t="shared" si="15"/>
        <v>0.93100000000000005</v>
      </c>
      <c r="AI16">
        <f t="shared" si="16"/>
        <v>1</v>
      </c>
      <c r="AJ16">
        <f t="shared" si="17"/>
        <v>3.3300000000000003E-2</v>
      </c>
    </row>
    <row r="17" spans="1:36" x14ac:dyDescent="0.25">
      <c r="A17" s="1">
        <v>45970.625</v>
      </c>
      <c r="B17" s="2" t="s">
        <v>50</v>
      </c>
      <c r="C17">
        <v>8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f t="shared" si="0"/>
        <v>11</v>
      </c>
      <c r="L17">
        <f t="shared" si="1"/>
        <v>0.88890000000000002</v>
      </c>
      <c r="M17">
        <f t="shared" si="2"/>
        <v>1</v>
      </c>
      <c r="N17">
        <f t="shared" si="3"/>
        <v>1</v>
      </c>
      <c r="O17">
        <f t="shared" si="4"/>
        <v>1</v>
      </c>
      <c r="P17">
        <f t="shared" si="5"/>
        <v>0.18179999999999999</v>
      </c>
      <c r="Q17">
        <v>15</v>
      </c>
      <c r="R17">
        <v>2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f t="shared" si="6"/>
        <v>18</v>
      </c>
      <c r="Z17">
        <f t="shared" si="7"/>
        <v>29</v>
      </c>
      <c r="AA17">
        <f t="shared" si="8"/>
        <v>0.83330000000000004</v>
      </c>
      <c r="AB17">
        <f t="shared" si="9"/>
        <v>0.94440000000000002</v>
      </c>
      <c r="AC17">
        <f t="shared" si="10"/>
        <v>1</v>
      </c>
      <c r="AD17">
        <f t="shared" si="11"/>
        <v>1</v>
      </c>
      <c r="AE17">
        <f t="shared" si="12"/>
        <v>0</v>
      </c>
      <c r="AF17">
        <f t="shared" si="13"/>
        <v>0.85189999999999999</v>
      </c>
      <c r="AG17">
        <f t="shared" si="14"/>
        <v>0.96299999999999997</v>
      </c>
      <c r="AH17">
        <f t="shared" si="15"/>
        <v>1</v>
      </c>
      <c r="AI17">
        <f t="shared" si="16"/>
        <v>1</v>
      </c>
      <c r="AJ17">
        <f t="shared" si="17"/>
        <v>6.9000000000000006E-2</v>
      </c>
    </row>
    <row r="18" spans="1:36" x14ac:dyDescent="0.25">
      <c r="A18" s="1">
        <v>45970.666666666664</v>
      </c>
      <c r="B18" s="2" t="s">
        <v>51</v>
      </c>
      <c r="C18">
        <v>11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f t="shared" si="0"/>
        <v>12</v>
      </c>
      <c r="L18">
        <f t="shared" si="1"/>
        <v>0.91669999999999996</v>
      </c>
      <c r="M18">
        <f t="shared" si="2"/>
        <v>1</v>
      </c>
      <c r="N18">
        <f t="shared" si="3"/>
        <v>1</v>
      </c>
      <c r="O18">
        <f t="shared" si="4"/>
        <v>1</v>
      </c>
      <c r="P18">
        <f t="shared" si="5"/>
        <v>0</v>
      </c>
      <c r="Q18">
        <v>10</v>
      </c>
      <c r="R18">
        <v>1</v>
      </c>
      <c r="S18">
        <v>0</v>
      </c>
      <c r="T18">
        <v>1</v>
      </c>
      <c r="U18">
        <v>0</v>
      </c>
      <c r="V18">
        <v>0</v>
      </c>
      <c r="W18">
        <v>0</v>
      </c>
      <c r="X18">
        <v>1</v>
      </c>
      <c r="Y18">
        <f t="shared" si="6"/>
        <v>13</v>
      </c>
      <c r="Z18">
        <f t="shared" si="7"/>
        <v>25</v>
      </c>
      <c r="AA18">
        <f t="shared" si="8"/>
        <v>0.83330000000000004</v>
      </c>
      <c r="AB18">
        <f t="shared" si="9"/>
        <v>0.91669999999999996</v>
      </c>
      <c r="AC18">
        <f t="shared" si="10"/>
        <v>0.91669999999999996</v>
      </c>
      <c r="AD18">
        <f t="shared" si="11"/>
        <v>1</v>
      </c>
      <c r="AE18">
        <f t="shared" si="12"/>
        <v>7.6899999999999996E-2</v>
      </c>
      <c r="AF18">
        <f t="shared" si="13"/>
        <v>0.875</v>
      </c>
      <c r="AG18">
        <f t="shared" si="14"/>
        <v>0.95830000000000004</v>
      </c>
      <c r="AH18">
        <f t="shared" si="15"/>
        <v>0.95830000000000004</v>
      </c>
      <c r="AI18">
        <f t="shared" si="16"/>
        <v>1</v>
      </c>
      <c r="AJ18">
        <f t="shared" si="17"/>
        <v>0.04</v>
      </c>
    </row>
    <row r="19" spans="1:36" x14ac:dyDescent="0.25">
      <c r="A19" s="1">
        <v>45970.708333333336</v>
      </c>
      <c r="B19" s="2" t="s">
        <v>52</v>
      </c>
      <c r="C19">
        <v>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</v>
      </c>
      <c r="K19">
        <f t="shared" si="0"/>
        <v>10</v>
      </c>
      <c r="L19">
        <f t="shared" si="1"/>
        <v>1</v>
      </c>
      <c r="M19">
        <f t="shared" si="2"/>
        <v>1</v>
      </c>
      <c r="N19">
        <f t="shared" si="3"/>
        <v>1</v>
      </c>
      <c r="O19">
        <f t="shared" si="4"/>
        <v>1</v>
      </c>
      <c r="P19">
        <f t="shared" si="5"/>
        <v>0.2</v>
      </c>
      <c r="Q19">
        <v>7</v>
      </c>
      <c r="R19">
        <v>2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f t="shared" si="6"/>
        <v>10</v>
      </c>
      <c r="Z19">
        <f t="shared" si="7"/>
        <v>20</v>
      </c>
      <c r="AA19">
        <f t="shared" si="8"/>
        <v>0.7</v>
      </c>
      <c r="AB19">
        <f t="shared" si="9"/>
        <v>0.9</v>
      </c>
      <c r="AC19">
        <f t="shared" si="10"/>
        <v>0.9</v>
      </c>
      <c r="AD19">
        <f t="shared" si="11"/>
        <v>0.9</v>
      </c>
      <c r="AE19">
        <f t="shared" si="12"/>
        <v>0</v>
      </c>
      <c r="AF19">
        <f t="shared" si="13"/>
        <v>0.83330000000000004</v>
      </c>
      <c r="AG19">
        <f t="shared" si="14"/>
        <v>0.94440000000000002</v>
      </c>
      <c r="AH19">
        <f t="shared" si="15"/>
        <v>0.94440000000000002</v>
      </c>
      <c r="AI19">
        <f t="shared" si="16"/>
        <v>0.94440000000000002</v>
      </c>
      <c r="AJ19">
        <f t="shared" si="17"/>
        <v>0.1</v>
      </c>
    </row>
    <row r="20" spans="1:36" x14ac:dyDescent="0.25">
      <c r="A20" s="1">
        <v>45970.75</v>
      </c>
      <c r="B20" s="2" t="s">
        <v>53</v>
      </c>
      <c r="C20">
        <v>6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  <c r="K20">
        <f t="shared" si="0"/>
        <v>8</v>
      </c>
      <c r="L20">
        <f t="shared" si="1"/>
        <v>0.85709999999999997</v>
      </c>
      <c r="M20">
        <f t="shared" si="2"/>
        <v>0.85709999999999997</v>
      </c>
      <c r="N20">
        <f t="shared" si="3"/>
        <v>1</v>
      </c>
      <c r="O20">
        <f t="shared" si="4"/>
        <v>1</v>
      </c>
      <c r="P20">
        <f t="shared" si="5"/>
        <v>0.125</v>
      </c>
      <c r="Q20">
        <v>9</v>
      </c>
      <c r="R20">
        <v>1</v>
      </c>
      <c r="S20">
        <v>0</v>
      </c>
      <c r="T20">
        <v>1</v>
      </c>
      <c r="U20">
        <v>1</v>
      </c>
      <c r="V20">
        <v>0</v>
      </c>
      <c r="W20">
        <v>0</v>
      </c>
      <c r="X20">
        <v>0</v>
      </c>
      <c r="Y20">
        <f t="shared" si="6"/>
        <v>12</v>
      </c>
      <c r="Z20">
        <f t="shared" si="7"/>
        <v>20</v>
      </c>
      <c r="AA20">
        <f t="shared" si="8"/>
        <v>0.75</v>
      </c>
      <c r="AB20">
        <f t="shared" si="9"/>
        <v>0.83330000000000004</v>
      </c>
      <c r="AC20">
        <f t="shared" si="10"/>
        <v>0.83330000000000004</v>
      </c>
      <c r="AD20">
        <f t="shared" si="11"/>
        <v>0.91669999999999996</v>
      </c>
      <c r="AE20">
        <f t="shared" si="12"/>
        <v>0</v>
      </c>
      <c r="AF20">
        <f t="shared" si="13"/>
        <v>0.78949999999999998</v>
      </c>
      <c r="AG20">
        <f t="shared" si="14"/>
        <v>0.84209999999999996</v>
      </c>
      <c r="AH20">
        <f t="shared" si="15"/>
        <v>0.89470000000000005</v>
      </c>
      <c r="AI20">
        <f t="shared" si="16"/>
        <v>0.94740000000000002</v>
      </c>
      <c r="AJ20">
        <f t="shared" si="17"/>
        <v>0.05</v>
      </c>
    </row>
    <row r="21" spans="1:36" x14ac:dyDescent="0.25">
      <c r="A21" s="1">
        <v>45970.791666666664</v>
      </c>
      <c r="B21" s="2" t="s">
        <v>54</v>
      </c>
      <c r="C21">
        <v>11</v>
      </c>
      <c r="D21">
        <v>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f t="shared" si="0"/>
        <v>14</v>
      </c>
      <c r="L21">
        <f t="shared" si="1"/>
        <v>0.78569999999999995</v>
      </c>
      <c r="M21">
        <f t="shared" si="2"/>
        <v>1</v>
      </c>
      <c r="N21">
        <f t="shared" si="3"/>
        <v>1</v>
      </c>
      <c r="O21">
        <f t="shared" si="4"/>
        <v>1</v>
      </c>
      <c r="P21">
        <f t="shared" si="5"/>
        <v>0</v>
      </c>
      <c r="Q21">
        <v>9</v>
      </c>
      <c r="R21">
        <v>2</v>
      </c>
      <c r="S21">
        <v>2</v>
      </c>
      <c r="T21">
        <v>0</v>
      </c>
      <c r="U21">
        <v>0</v>
      </c>
      <c r="V21">
        <v>0</v>
      </c>
      <c r="W21">
        <v>0</v>
      </c>
      <c r="X21">
        <v>0</v>
      </c>
      <c r="Y21">
        <f t="shared" si="6"/>
        <v>13</v>
      </c>
      <c r="Z21">
        <f t="shared" si="7"/>
        <v>27</v>
      </c>
      <c r="AA21">
        <f t="shared" si="8"/>
        <v>0.69230000000000003</v>
      </c>
      <c r="AB21">
        <f t="shared" si="9"/>
        <v>0.84619999999999995</v>
      </c>
      <c r="AC21">
        <f t="shared" si="10"/>
        <v>1</v>
      </c>
      <c r="AD21">
        <f t="shared" si="11"/>
        <v>1</v>
      </c>
      <c r="AE21">
        <f t="shared" si="12"/>
        <v>0</v>
      </c>
      <c r="AF21">
        <f t="shared" si="13"/>
        <v>0.74070000000000003</v>
      </c>
      <c r="AG21">
        <f t="shared" si="14"/>
        <v>0.92589999999999995</v>
      </c>
      <c r="AH21">
        <f t="shared" si="15"/>
        <v>1</v>
      </c>
      <c r="AI21">
        <f t="shared" si="16"/>
        <v>1</v>
      </c>
      <c r="AJ21">
        <f t="shared" si="17"/>
        <v>0</v>
      </c>
    </row>
    <row r="22" spans="1:36" x14ac:dyDescent="0.25">
      <c r="A22" s="1">
        <v>45970.833333333336</v>
      </c>
      <c r="B22" s="2" t="s">
        <v>55</v>
      </c>
      <c r="C22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f t="shared" si="0"/>
        <v>9</v>
      </c>
      <c r="L22">
        <f t="shared" si="1"/>
        <v>1</v>
      </c>
      <c r="M22">
        <f t="shared" si="2"/>
        <v>1</v>
      </c>
      <c r="N22">
        <f t="shared" si="3"/>
        <v>1</v>
      </c>
      <c r="O22">
        <f t="shared" si="4"/>
        <v>1</v>
      </c>
      <c r="P22">
        <f t="shared" si="5"/>
        <v>0.1111</v>
      </c>
      <c r="Q22">
        <v>7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f t="shared" si="6"/>
        <v>7</v>
      </c>
      <c r="Z22">
        <f t="shared" si="7"/>
        <v>16</v>
      </c>
      <c r="AA22">
        <f t="shared" si="8"/>
        <v>1</v>
      </c>
      <c r="AB22">
        <f t="shared" si="9"/>
        <v>1</v>
      </c>
      <c r="AC22">
        <f t="shared" si="10"/>
        <v>1</v>
      </c>
      <c r="AD22">
        <f t="shared" si="11"/>
        <v>1</v>
      </c>
      <c r="AE22">
        <f t="shared" si="12"/>
        <v>0</v>
      </c>
      <c r="AF22">
        <f t="shared" si="13"/>
        <v>1</v>
      </c>
      <c r="AG22">
        <f t="shared" si="14"/>
        <v>1</v>
      </c>
      <c r="AH22">
        <f t="shared" si="15"/>
        <v>1</v>
      </c>
      <c r="AI22">
        <f t="shared" si="16"/>
        <v>1</v>
      </c>
      <c r="AJ22">
        <f t="shared" si="17"/>
        <v>6.25E-2</v>
      </c>
    </row>
    <row r="23" spans="1:36" x14ac:dyDescent="0.25">
      <c r="A23" s="1">
        <v>45970.875</v>
      </c>
      <c r="B23" s="2" t="s">
        <v>56</v>
      </c>
      <c r="C23">
        <v>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f t="shared" si="0"/>
        <v>5</v>
      </c>
      <c r="L23">
        <f t="shared" si="1"/>
        <v>1</v>
      </c>
      <c r="M23">
        <f t="shared" si="2"/>
        <v>1</v>
      </c>
      <c r="N23">
        <f t="shared" si="3"/>
        <v>1</v>
      </c>
      <c r="O23">
        <f t="shared" si="4"/>
        <v>1</v>
      </c>
      <c r="P23">
        <f t="shared" si="5"/>
        <v>0</v>
      </c>
      <c r="Q23">
        <v>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f t="shared" si="6"/>
        <v>5</v>
      </c>
      <c r="Z23">
        <f t="shared" si="7"/>
        <v>10</v>
      </c>
      <c r="AA23">
        <f t="shared" si="8"/>
        <v>1</v>
      </c>
      <c r="AB23">
        <f t="shared" si="9"/>
        <v>1</v>
      </c>
      <c r="AC23">
        <f t="shared" si="10"/>
        <v>1</v>
      </c>
      <c r="AD23">
        <f t="shared" si="11"/>
        <v>1</v>
      </c>
      <c r="AE23">
        <f t="shared" si="12"/>
        <v>0</v>
      </c>
      <c r="AF23">
        <f t="shared" si="13"/>
        <v>1</v>
      </c>
      <c r="AG23">
        <f t="shared" si="14"/>
        <v>1</v>
      </c>
      <c r="AH23">
        <f t="shared" si="15"/>
        <v>1</v>
      </c>
      <c r="AI23">
        <f t="shared" si="16"/>
        <v>1</v>
      </c>
      <c r="AJ23">
        <f t="shared" si="17"/>
        <v>0</v>
      </c>
    </row>
    <row r="24" spans="1:36" x14ac:dyDescent="0.25">
      <c r="A24" s="1">
        <v>45970.916666666664</v>
      </c>
      <c r="B24" s="2" t="s">
        <v>57</v>
      </c>
      <c r="C24">
        <v>4</v>
      </c>
      <c r="D24">
        <v>4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f t="shared" si="0"/>
        <v>9</v>
      </c>
      <c r="L24">
        <f t="shared" si="1"/>
        <v>0.5</v>
      </c>
      <c r="M24">
        <f t="shared" si="2"/>
        <v>1</v>
      </c>
      <c r="N24">
        <f t="shared" si="3"/>
        <v>1</v>
      </c>
      <c r="O24">
        <f t="shared" si="4"/>
        <v>1</v>
      </c>
      <c r="P24">
        <f t="shared" si="5"/>
        <v>0.1111</v>
      </c>
      <c r="Q24">
        <v>7</v>
      </c>
      <c r="R24">
        <v>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f t="shared" si="6"/>
        <v>9</v>
      </c>
      <c r="Z24">
        <f t="shared" si="7"/>
        <v>18</v>
      </c>
      <c r="AA24">
        <f t="shared" si="8"/>
        <v>0.77780000000000005</v>
      </c>
      <c r="AB24">
        <f t="shared" si="9"/>
        <v>1</v>
      </c>
      <c r="AC24">
        <f t="shared" si="10"/>
        <v>1</v>
      </c>
      <c r="AD24">
        <f t="shared" si="11"/>
        <v>1</v>
      </c>
      <c r="AE24">
        <f t="shared" si="12"/>
        <v>0</v>
      </c>
      <c r="AF24">
        <f t="shared" si="13"/>
        <v>0.64710000000000001</v>
      </c>
      <c r="AG24">
        <f t="shared" si="14"/>
        <v>1</v>
      </c>
      <c r="AH24">
        <f t="shared" si="15"/>
        <v>1</v>
      </c>
      <c r="AI24">
        <f t="shared" si="16"/>
        <v>1</v>
      </c>
      <c r="AJ24">
        <f t="shared" si="17"/>
        <v>5.5599999999999997E-2</v>
      </c>
    </row>
    <row r="25" spans="1:36" x14ac:dyDescent="0.25">
      <c r="A25" s="1">
        <v>45970.958333333336</v>
      </c>
      <c r="B25" s="2" t="s">
        <v>58</v>
      </c>
      <c r="C25">
        <v>2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f t="shared" si="0"/>
        <v>4</v>
      </c>
      <c r="L25">
        <f t="shared" si="1"/>
        <v>0.5</v>
      </c>
      <c r="M25">
        <f t="shared" si="2"/>
        <v>0.75</v>
      </c>
      <c r="N25">
        <f t="shared" si="3"/>
        <v>1</v>
      </c>
      <c r="O25">
        <f t="shared" si="4"/>
        <v>1</v>
      </c>
      <c r="P25">
        <f t="shared" si="5"/>
        <v>0</v>
      </c>
      <c r="Q25">
        <v>7</v>
      </c>
      <c r="R25">
        <v>1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f t="shared" si="6"/>
        <v>10</v>
      </c>
      <c r="Z25">
        <f t="shared" si="7"/>
        <v>14</v>
      </c>
      <c r="AA25">
        <f t="shared" si="8"/>
        <v>0.7</v>
      </c>
      <c r="AB25">
        <f t="shared" si="9"/>
        <v>0.8</v>
      </c>
      <c r="AC25">
        <f t="shared" si="10"/>
        <v>0.9</v>
      </c>
      <c r="AD25">
        <f t="shared" si="11"/>
        <v>1</v>
      </c>
      <c r="AE25">
        <f t="shared" si="12"/>
        <v>0</v>
      </c>
      <c r="AF25">
        <f t="shared" si="13"/>
        <v>0.64290000000000003</v>
      </c>
      <c r="AG25">
        <f t="shared" si="14"/>
        <v>0.78569999999999995</v>
      </c>
      <c r="AH25">
        <f t="shared" si="15"/>
        <v>0.92859999999999998</v>
      </c>
      <c r="AI25">
        <f t="shared" si="16"/>
        <v>1</v>
      </c>
      <c r="AJ25">
        <f t="shared" si="17"/>
        <v>0</v>
      </c>
    </row>
    <row r="26" spans="1:36" x14ac:dyDescent="0.25">
      <c r="A26" s="1">
        <v>45971</v>
      </c>
      <c r="B26" s="2" t="s">
        <v>35</v>
      </c>
      <c r="C26">
        <v>3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f t="shared" si="0"/>
        <v>5</v>
      </c>
      <c r="L26">
        <f t="shared" si="1"/>
        <v>0.75</v>
      </c>
      <c r="M26">
        <f t="shared" si="2"/>
        <v>1</v>
      </c>
      <c r="N26">
        <f t="shared" si="3"/>
        <v>1</v>
      </c>
      <c r="O26">
        <f t="shared" si="4"/>
        <v>1</v>
      </c>
      <c r="P26">
        <f t="shared" si="5"/>
        <v>0.2</v>
      </c>
      <c r="Q26">
        <v>6</v>
      </c>
      <c r="R26">
        <v>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f t="shared" si="6"/>
        <v>9</v>
      </c>
      <c r="Z26">
        <f t="shared" si="7"/>
        <v>14</v>
      </c>
      <c r="AA26">
        <f t="shared" si="8"/>
        <v>0.66669999999999996</v>
      </c>
      <c r="AB26">
        <f t="shared" si="9"/>
        <v>1</v>
      </c>
      <c r="AC26">
        <f t="shared" si="10"/>
        <v>1</v>
      </c>
      <c r="AD26">
        <f t="shared" si="11"/>
        <v>1</v>
      </c>
      <c r="AE26">
        <f t="shared" si="12"/>
        <v>0</v>
      </c>
      <c r="AF26">
        <f t="shared" si="13"/>
        <v>0.69230000000000003</v>
      </c>
      <c r="AG26">
        <f t="shared" si="14"/>
        <v>1</v>
      </c>
      <c r="AH26">
        <f t="shared" si="15"/>
        <v>1</v>
      </c>
      <c r="AI26">
        <f t="shared" si="16"/>
        <v>1</v>
      </c>
      <c r="AJ26">
        <f t="shared" si="17"/>
        <v>7.1400000000000005E-2</v>
      </c>
    </row>
    <row r="27" spans="1:36" x14ac:dyDescent="0.25">
      <c r="A27" s="1">
        <v>45971.041666666664</v>
      </c>
      <c r="B27" s="2" t="s">
        <v>36</v>
      </c>
      <c r="C27">
        <v>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f t="shared" si="0"/>
        <v>4</v>
      </c>
      <c r="L27">
        <f t="shared" si="1"/>
        <v>1</v>
      </c>
      <c r="M27">
        <f t="shared" si="2"/>
        <v>1</v>
      </c>
      <c r="N27">
        <f t="shared" si="3"/>
        <v>1</v>
      </c>
      <c r="O27">
        <f t="shared" si="4"/>
        <v>1</v>
      </c>
      <c r="P27">
        <f t="shared" si="5"/>
        <v>0</v>
      </c>
      <c r="Q27">
        <v>7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f t="shared" si="6"/>
        <v>8</v>
      </c>
      <c r="Z27">
        <f t="shared" si="7"/>
        <v>12</v>
      </c>
      <c r="AA27">
        <f t="shared" si="8"/>
        <v>0.875</v>
      </c>
      <c r="AB27">
        <f t="shared" si="9"/>
        <v>1</v>
      </c>
      <c r="AC27">
        <f t="shared" si="10"/>
        <v>1</v>
      </c>
      <c r="AD27">
        <f t="shared" si="11"/>
        <v>1</v>
      </c>
      <c r="AE27">
        <f t="shared" si="12"/>
        <v>0</v>
      </c>
      <c r="AF27">
        <f t="shared" si="13"/>
        <v>0.91669999999999996</v>
      </c>
      <c r="AG27">
        <f t="shared" si="14"/>
        <v>1</v>
      </c>
      <c r="AH27">
        <f t="shared" si="15"/>
        <v>1</v>
      </c>
      <c r="AI27">
        <f t="shared" si="16"/>
        <v>1</v>
      </c>
      <c r="AJ27">
        <f t="shared" si="17"/>
        <v>0</v>
      </c>
    </row>
    <row r="28" spans="1:36" x14ac:dyDescent="0.25">
      <c r="A28" s="1">
        <v>45971.083333333336</v>
      </c>
      <c r="B28" s="2" t="s">
        <v>37</v>
      </c>
      <c r="C28">
        <v>2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f t="shared" si="0"/>
        <v>3</v>
      </c>
      <c r="L28">
        <f t="shared" si="1"/>
        <v>0.66669999999999996</v>
      </c>
      <c r="M28">
        <f t="shared" si="2"/>
        <v>1</v>
      </c>
      <c r="N28">
        <f t="shared" si="3"/>
        <v>1</v>
      </c>
      <c r="O28">
        <f t="shared" si="4"/>
        <v>1</v>
      </c>
      <c r="P28">
        <f t="shared" si="5"/>
        <v>0</v>
      </c>
      <c r="Q28">
        <v>9</v>
      </c>
      <c r="R28">
        <v>1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f t="shared" si="6"/>
        <v>11</v>
      </c>
      <c r="Z28">
        <f t="shared" si="7"/>
        <v>14</v>
      </c>
      <c r="AA28">
        <f t="shared" si="8"/>
        <v>0.81820000000000004</v>
      </c>
      <c r="AB28">
        <f t="shared" si="9"/>
        <v>0.90910000000000002</v>
      </c>
      <c r="AC28">
        <f t="shared" si="10"/>
        <v>0.90910000000000002</v>
      </c>
      <c r="AD28">
        <f t="shared" si="11"/>
        <v>1</v>
      </c>
      <c r="AE28">
        <f t="shared" si="12"/>
        <v>0</v>
      </c>
      <c r="AF28">
        <f t="shared" si="13"/>
        <v>0.78569999999999995</v>
      </c>
      <c r="AG28">
        <f t="shared" si="14"/>
        <v>0.92859999999999998</v>
      </c>
      <c r="AH28">
        <f t="shared" si="15"/>
        <v>0.92859999999999998</v>
      </c>
      <c r="AI28">
        <f t="shared" si="16"/>
        <v>1</v>
      </c>
      <c r="AJ28">
        <f t="shared" si="17"/>
        <v>0</v>
      </c>
    </row>
    <row r="29" spans="1:36" x14ac:dyDescent="0.25">
      <c r="A29" s="1">
        <v>45971.125</v>
      </c>
      <c r="B29" s="2" t="s">
        <v>38</v>
      </c>
      <c r="C29">
        <v>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f t="shared" si="0"/>
        <v>5</v>
      </c>
      <c r="L29">
        <f t="shared" si="1"/>
        <v>1</v>
      </c>
      <c r="M29">
        <f t="shared" si="2"/>
        <v>1</v>
      </c>
      <c r="N29">
        <f t="shared" si="3"/>
        <v>1</v>
      </c>
      <c r="O29">
        <f t="shared" si="4"/>
        <v>1</v>
      </c>
      <c r="P29">
        <f t="shared" si="5"/>
        <v>0.2</v>
      </c>
      <c r="Q29">
        <v>5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f t="shared" si="6"/>
        <v>6</v>
      </c>
      <c r="Z29">
        <f t="shared" si="7"/>
        <v>11</v>
      </c>
      <c r="AA29">
        <f t="shared" si="8"/>
        <v>0.83330000000000004</v>
      </c>
      <c r="AB29">
        <f t="shared" si="9"/>
        <v>1</v>
      </c>
      <c r="AC29">
        <f t="shared" si="10"/>
        <v>1</v>
      </c>
      <c r="AD29">
        <f t="shared" si="11"/>
        <v>1</v>
      </c>
      <c r="AE29">
        <f t="shared" si="12"/>
        <v>0</v>
      </c>
      <c r="AF29">
        <f t="shared" si="13"/>
        <v>0.9</v>
      </c>
      <c r="AG29">
        <f t="shared" si="14"/>
        <v>1</v>
      </c>
      <c r="AH29">
        <f t="shared" si="15"/>
        <v>1</v>
      </c>
      <c r="AI29">
        <f t="shared" si="16"/>
        <v>1</v>
      </c>
      <c r="AJ29">
        <f t="shared" si="17"/>
        <v>9.0899999999999995E-2</v>
      </c>
    </row>
    <row r="30" spans="1:36" x14ac:dyDescent="0.25">
      <c r="A30" s="1">
        <v>45971.166666666664</v>
      </c>
      <c r="B30" s="2" t="s">
        <v>39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f t="shared" si="0"/>
        <v>1</v>
      </c>
      <c r="L30">
        <f t="shared" si="1"/>
        <v>1</v>
      </c>
      <c r="M30">
        <f t="shared" si="2"/>
        <v>1</v>
      </c>
      <c r="N30">
        <f t="shared" si="3"/>
        <v>1</v>
      </c>
      <c r="O30">
        <f t="shared" si="4"/>
        <v>1</v>
      </c>
      <c r="P30">
        <f t="shared" si="5"/>
        <v>0</v>
      </c>
      <c r="Q30">
        <v>3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f t="shared" si="6"/>
        <v>4</v>
      </c>
      <c r="Z30">
        <f t="shared" si="7"/>
        <v>5</v>
      </c>
      <c r="AA30">
        <f t="shared" si="8"/>
        <v>0.75</v>
      </c>
      <c r="AB30">
        <f t="shared" si="9"/>
        <v>1</v>
      </c>
      <c r="AC30">
        <f t="shared" si="10"/>
        <v>1</v>
      </c>
      <c r="AD30">
        <f t="shared" si="11"/>
        <v>1</v>
      </c>
      <c r="AE30">
        <f t="shared" si="12"/>
        <v>0</v>
      </c>
      <c r="AF30">
        <f t="shared" si="13"/>
        <v>0.8</v>
      </c>
      <c r="AG30">
        <f t="shared" si="14"/>
        <v>1</v>
      </c>
      <c r="AH30">
        <f t="shared" si="15"/>
        <v>1</v>
      </c>
      <c r="AI30">
        <f t="shared" si="16"/>
        <v>1</v>
      </c>
      <c r="AJ30">
        <f t="shared" si="17"/>
        <v>0</v>
      </c>
    </row>
    <row r="31" spans="1:36" x14ac:dyDescent="0.25">
      <c r="A31" s="1">
        <v>45971.208333333336</v>
      </c>
      <c r="B31" s="2" t="s">
        <v>40</v>
      </c>
      <c r="C31">
        <v>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f t="shared" si="0"/>
        <v>3</v>
      </c>
      <c r="L31">
        <f t="shared" si="1"/>
        <v>1</v>
      </c>
      <c r="M31">
        <f t="shared" si="2"/>
        <v>1</v>
      </c>
      <c r="N31">
        <f t="shared" si="3"/>
        <v>1</v>
      </c>
      <c r="O31">
        <f t="shared" si="4"/>
        <v>1</v>
      </c>
      <c r="P31">
        <f t="shared" si="5"/>
        <v>0</v>
      </c>
      <c r="Q31">
        <v>11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f t="shared" si="6"/>
        <v>12</v>
      </c>
      <c r="Z31">
        <f t="shared" si="7"/>
        <v>15</v>
      </c>
      <c r="AA31">
        <f t="shared" si="8"/>
        <v>1</v>
      </c>
      <c r="AB31">
        <f t="shared" si="9"/>
        <v>1</v>
      </c>
      <c r="AC31">
        <f t="shared" si="10"/>
        <v>1</v>
      </c>
      <c r="AD31">
        <f t="shared" si="11"/>
        <v>1</v>
      </c>
      <c r="AE31">
        <f t="shared" si="12"/>
        <v>8.3299999999999999E-2</v>
      </c>
      <c r="AF31">
        <f t="shared" si="13"/>
        <v>1</v>
      </c>
      <c r="AG31">
        <f t="shared" si="14"/>
        <v>1</v>
      </c>
      <c r="AH31">
        <f t="shared" si="15"/>
        <v>1</v>
      </c>
      <c r="AI31">
        <f t="shared" si="16"/>
        <v>1</v>
      </c>
      <c r="AJ31">
        <f t="shared" si="17"/>
        <v>6.6699999999999995E-2</v>
      </c>
    </row>
    <row r="32" spans="1:36" x14ac:dyDescent="0.25">
      <c r="A32" s="1">
        <v>45971.25</v>
      </c>
      <c r="B32" s="2" t="s">
        <v>41</v>
      </c>
      <c r="C32">
        <v>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f t="shared" si="0"/>
        <v>7</v>
      </c>
      <c r="L32">
        <f t="shared" si="1"/>
        <v>1</v>
      </c>
      <c r="M32">
        <f t="shared" si="2"/>
        <v>1</v>
      </c>
      <c r="N32">
        <f t="shared" si="3"/>
        <v>1</v>
      </c>
      <c r="O32">
        <f t="shared" si="4"/>
        <v>1</v>
      </c>
      <c r="P32">
        <f t="shared" si="5"/>
        <v>0</v>
      </c>
      <c r="Q32">
        <v>9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f t="shared" si="6"/>
        <v>9</v>
      </c>
      <c r="Z32">
        <f t="shared" si="7"/>
        <v>16</v>
      </c>
      <c r="AA32">
        <f t="shared" si="8"/>
        <v>1</v>
      </c>
      <c r="AB32">
        <f t="shared" si="9"/>
        <v>1</v>
      </c>
      <c r="AC32">
        <f t="shared" si="10"/>
        <v>1</v>
      </c>
      <c r="AD32">
        <f t="shared" si="11"/>
        <v>1</v>
      </c>
      <c r="AE32">
        <f t="shared" si="12"/>
        <v>0</v>
      </c>
      <c r="AF32">
        <f t="shared" si="13"/>
        <v>1</v>
      </c>
      <c r="AG32">
        <f t="shared" si="14"/>
        <v>1</v>
      </c>
      <c r="AH32">
        <f t="shared" si="15"/>
        <v>1</v>
      </c>
      <c r="AI32">
        <f t="shared" si="16"/>
        <v>1</v>
      </c>
      <c r="AJ32">
        <f t="shared" si="17"/>
        <v>0</v>
      </c>
    </row>
    <row r="33" spans="1:36" x14ac:dyDescent="0.25">
      <c r="A33" s="1">
        <v>45971.291666666664</v>
      </c>
      <c r="B33" s="2" t="s">
        <v>42</v>
      </c>
      <c r="C33">
        <v>4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f t="shared" si="0"/>
        <v>6</v>
      </c>
      <c r="L33">
        <f t="shared" si="1"/>
        <v>0.8</v>
      </c>
      <c r="M33">
        <f t="shared" si="2"/>
        <v>1</v>
      </c>
      <c r="N33">
        <f t="shared" si="3"/>
        <v>1</v>
      </c>
      <c r="O33">
        <f t="shared" si="4"/>
        <v>1</v>
      </c>
      <c r="P33">
        <f t="shared" si="5"/>
        <v>0.16669999999999999</v>
      </c>
      <c r="Q33">
        <v>27</v>
      </c>
      <c r="R33">
        <v>2</v>
      </c>
      <c r="S33">
        <v>1</v>
      </c>
      <c r="T33">
        <v>0</v>
      </c>
      <c r="U33">
        <v>0</v>
      </c>
      <c r="V33">
        <v>0</v>
      </c>
      <c r="W33">
        <v>0</v>
      </c>
      <c r="X33">
        <v>1</v>
      </c>
      <c r="Y33">
        <f t="shared" si="6"/>
        <v>31</v>
      </c>
      <c r="Z33">
        <f t="shared" si="7"/>
        <v>37</v>
      </c>
      <c r="AA33">
        <f t="shared" si="8"/>
        <v>0.9</v>
      </c>
      <c r="AB33">
        <f t="shared" si="9"/>
        <v>0.9667</v>
      </c>
      <c r="AC33">
        <f t="shared" si="10"/>
        <v>1</v>
      </c>
      <c r="AD33">
        <f t="shared" si="11"/>
        <v>1</v>
      </c>
      <c r="AE33">
        <f t="shared" si="12"/>
        <v>3.2300000000000002E-2</v>
      </c>
      <c r="AF33">
        <f t="shared" si="13"/>
        <v>0.88570000000000004</v>
      </c>
      <c r="AG33">
        <f t="shared" si="14"/>
        <v>0.97140000000000004</v>
      </c>
      <c r="AH33">
        <f t="shared" si="15"/>
        <v>1</v>
      </c>
      <c r="AI33">
        <f t="shared" si="16"/>
        <v>1</v>
      </c>
      <c r="AJ33">
        <f t="shared" si="17"/>
        <v>5.4100000000000002E-2</v>
      </c>
    </row>
    <row r="34" spans="1:36" x14ac:dyDescent="0.25">
      <c r="A34" s="1">
        <v>45971.333333333336</v>
      </c>
      <c r="B34" s="2" t="s">
        <v>43</v>
      </c>
      <c r="C34">
        <v>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</v>
      </c>
      <c r="K34">
        <f t="shared" si="0"/>
        <v>8</v>
      </c>
      <c r="L34">
        <f t="shared" si="1"/>
        <v>1</v>
      </c>
      <c r="M34">
        <f t="shared" si="2"/>
        <v>1</v>
      </c>
      <c r="N34">
        <f t="shared" si="3"/>
        <v>1</v>
      </c>
      <c r="O34">
        <f t="shared" si="4"/>
        <v>1</v>
      </c>
      <c r="P34">
        <f t="shared" si="5"/>
        <v>0.375</v>
      </c>
      <c r="Q34">
        <v>36</v>
      </c>
      <c r="R34">
        <v>1</v>
      </c>
      <c r="S34">
        <v>1</v>
      </c>
      <c r="T34">
        <v>1</v>
      </c>
      <c r="U34">
        <v>0</v>
      </c>
      <c r="V34">
        <v>0</v>
      </c>
      <c r="W34">
        <v>0</v>
      </c>
      <c r="X34">
        <v>0</v>
      </c>
      <c r="Y34">
        <f t="shared" si="6"/>
        <v>39</v>
      </c>
      <c r="Z34">
        <f t="shared" si="7"/>
        <v>47</v>
      </c>
      <c r="AA34">
        <f t="shared" si="8"/>
        <v>0.92310000000000003</v>
      </c>
      <c r="AB34">
        <f t="shared" si="9"/>
        <v>0.94869999999999999</v>
      </c>
      <c r="AC34">
        <f t="shared" si="10"/>
        <v>0.97440000000000004</v>
      </c>
      <c r="AD34">
        <f t="shared" si="11"/>
        <v>1</v>
      </c>
      <c r="AE34">
        <f t="shared" si="12"/>
        <v>0</v>
      </c>
      <c r="AF34">
        <f t="shared" si="13"/>
        <v>0.93179999999999996</v>
      </c>
      <c r="AG34">
        <f t="shared" si="14"/>
        <v>0.95450000000000002</v>
      </c>
      <c r="AH34">
        <f t="shared" si="15"/>
        <v>0.97729999999999995</v>
      </c>
      <c r="AI34">
        <f t="shared" si="16"/>
        <v>1</v>
      </c>
      <c r="AJ34">
        <f t="shared" si="17"/>
        <v>6.3799999999999996E-2</v>
      </c>
    </row>
    <row r="35" spans="1:36" x14ac:dyDescent="0.25">
      <c r="A35" s="1">
        <v>45971.375</v>
      </c>
      <c r="B35" s="2" t="s">
        <v>44</v>
      </c>
      <c r="C35">
        <v>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</v>
      </c>
      <c r="K35">
        <f t="shared" si="0"/>
        <v>9</v>
      </c>
      <c r="L35">
        <f t="shared" si="1"/>
        <v>1</v>
      </c>
      <c r="M35">
        <f t="shared" si="2"/>
        <v>1</v>
      </c>
      <c r="N35">
        <f t="shared" si="3"/>
        <v>1</v>
      </c>
      <c r="O35">
        <f t="shared" si="4"/>
        <v>1</v>
      </c>
      <c r="P35">
        <f t="shared" si="5"/>
        <v>0.33329999999999999</v>
      </c>
      <c r="Q35">
        <v>24</v>
      </c>
      <c r="R35">
        <v>6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f t="shared" si="6"/>
        <v>32</v>
      </c>
      <c r="Z35">
        <f t="shared" si="7"/>
        <v>41</v>
      </c>
      <c r="AA35">
        <f t="shared" si="8"/>
        <v>0.75</v>
      </c>
      <c r="AB35">
        <f t="shared" si="9"/>
        <v>0.9375</v>
      </c>
      <c r="AC35">
        <f t="shared" si="10"/>
        <v>0.96879999999999999</v>
      </c>
      <c r="AD35">
        <f t="shared" si="11"/>
        <v>1</v>
      </c>
      <c r="AE35">
        <f t="shared" si="12"/>
        <v>0</v>
      </c>
      <c r="AF35">
        <f t="shared" si="13"/>
        <v>0.78949999999999998</v>
      </c>
      <c r="AG35">
        <f t="shared" si="14"/>
        <v>0.94740000000000002</v>
      </c>
      <c r="AH35">
        <f t="shared" si="15"/>
        <v>0.97370000000000001</v>
      </c>
      <c r="AI35">
        <f t="shared" si="16"/>
        <v>1</v>
      </c>
      <c r="AJ35">
        <f t="shared" si="17"/>
        <v>7.3200000000000001E-2</v>
      </c>
    </row>
    <row r="36" spans="1:36" x14ac:dyDescent="0.25">
      <c r="A36" s="1">
        <v>45971.416666666664</v>
      </c>
      <c r="B36" s="2" t="s">
        <v>45</v>
      </c>
      <c r="C36">
        <v>8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f t="shared" si="0"/>
        <v>9</v>
      </c>
      <c r="L36">
        <f t="shared" si="1"/>
        <v>0.88890000000000002</v>
      </c>
      <c r="M36">
        <f t="shared" si="2"/>
        <v>0.88890000000000002</v>
      </c>
      <c r="N36">
        <f t="shared" si="3"/>
        <v>0.88890000000000002</v>
      </c>
      <c r="O36">
        <f t="shared" si="4"/>
        <v>1</v>
      </c>
      <c r="P36">
        <f t="shared" si="5"/>
        <v>0</v>
      </c>
      <c r="Q36">
        <v>24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f t="shared" si="6"/>
        <v>24</v>
      </c>
      <c r="Z36">
        <f t="shared" si="7"/>
        <v>33</v>
      </c>
      <c r="AA36">
        <f t="shared" si="8"/>
        <v>1</v>
      </c>
      <c r="AB36">
        <f t="shared" si="9"/>
        <v>1</v>
      </c>
      <c r="AC36">
        <f t="shared" si="10"/>
        <v>1</v>
      </c>
      <c r="AD36">
        <f t="shared" si="11"/>
        <v>1</v>
      </c>
      <c r="AE36">
        <f t="shared" si="12"/>
        <v>0</v>
      </c>
      <c r="AF36">
        <f t="shared" si="13"/>
        <v>0.96970000000000001</v>
      </c>
      <c r="AG36">
        <f t="shared" si="14"/>
        <v>0.96970000000000001</v>
      </c>
      <c r="AH36">
        <f t="shared" si="15"/>
        <v>0.96970000000000001</v>
      </c>
      <c r="AI36">
        <f t="shared" si="16"/>
        <v>1</v>
      </c>
      <c r="AJ36">
        <f t="shared" si="17"/>
        <v>0</v>
      </c>
    </row>
    <row r="37" spans="1:36" x14ac:dyDescent="0.25">
      <c r="A37" s="1">
        <v>45971.458333333336</v>
      </c>
      <c r="B37" s="2" t="s">
        <v>46</v>
      </c>
      <c r="C37">
        <v>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f t="shared" si="0"/>
        <v>7</v>
      </c>
      <c r="L37">
        <f t="shared" si="1"/>
        <v>1</v>
      </c>
      <c r="M37">
        <f t="shared" si="2"/>
        <v>1</v>
      </c>
      <c r="N37">
        <f t="shared" si="3"/>
        <v>1</v>
      </c>
      <c r="O37">
        <f t="shared" si="4"/>
        <v>1</v>
      </c>
      <c r="P37">
        <f t="shared" si="5"/>
        <v>0</v>
      </c>
      <c r="Q37">
        <v>25</v>
      </c>
      <c r="R37">
        <v>4</v>
      </c>
      <c r="S37">
        <v>0</v>
      </c>
      <c r="T37">
        <v>2</v>
      </c>
      <c r="U37">
        <v>1</v>
      </c>
      <c r="V37">
        <v>2</v>
      </c>
      <c r="W37">
        <v>0</v>
      </c>
      <c r="X37">
        <v>1</v>
      </c>
      <c r="Y37">
        <f t="shared" si="6"/>
        <v>35</v>
      </c>
      <c r="Z37">
        <f t="shared" si="7"/>
        <v>42</v>
      </c>
      <c r="AA37">
        <f t="shared" si="8"/>
        <v>0.73529999999999995</v>
      </c>
      <c r="AB37">
        <f t="shared" si="9"/>
        <v>0.85289999999999999</v>
      </c>
      <c r="AC37">
        <f t="shared" si="10"/>
        <v>0.85289999999999999</v>
      </c>
      <c r="AD37">
        <f t="shared" si="11"/>
        <v>0.91180000000000005</v>
      </c>
      <c r="AE37">
        <f t="shared" si="12"/>
        <v>2.86E-2</v>
      </c>
      <c r="AF37">
        <f t="shared" si="13"/>
        <v>0.78049999999999997</v>
      </c>
      <c r="AG37">
        <f t="shared" si="14"/>
        <v>0.878</v>
      </c>
      <c r="AH37">
        <f t="shared" si="15"/>
        <v>0.878</v>
      </c>
      <c r="AI37">
        <f t="shared" si="16"/>
        <v>0.92679999999999996</v>
      </c>
      <c r="AJ37">
        <f t="shared" si="17"/>
        <v>2.3800000000000002E-2</v>
      </c>
    </row>
    <row r="38" spans="1:36" x14ac:dyDescent="0.25">
      <c r="A38" s="1">
        <v>45971.5</v>
      </c>
      <c r="B38" s="2" t="s">
        <v>47</v>
      </c>
      <c r="C38">
        <v>5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2</v>
      </c>
      <c r="K38">
        <f t="shared" si="0"/>
        <v>8</v>
      </c>
      <c r="L38">
        <f t="shared" si="1"/>
        <v>0.83330000000000004</v>
      </c>
      <c r="M38">
        <f t="shared" si="2"/>
        <v>1</v>
      </c>
      <c r="N38">
        <f t="shared" si="3"/>
        <v>1</v>
      </c>
      <c r="O38">
        <f t="shared" si="4"/>
        <v>1</v>
      </c>
      <c r="P38">
        <f t="shared" si="5"/>
        <v>0.25</v>
      </c>
      <c r="Q38">
        <v>21</v>
      </c>
      <c r="R38">
        <v>6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f t="shared" si="6"/>
        <v>28</v>
      </c>
      <c r="Z38">
        <f t="shared" si="7"/>
        <v>36</v>
      </c>
      <c r="AA38">
        <f t="shared" si="8"/>
        <v>0.75</v>
      </c>
      <c r="AB38">
        <f t="shared" si="9"/>
        <v>0.96430000000000005</v>
      </c>
      <c r="AC38">
        <f t="shared" si="10"/>
        <v>0.96430000000000005</v>
      </c>
      <c r="AD38">
        <f t="shared" si="11"/>
        <v>1</v>
      </c>
      <c r="AE38">
        <f t="shared" si="12"/>
        <v>0</v>
      </c>
      <c r="AF38">
        <f t="shared" si="13"/>
        <v>0.76470000000000005</v>
      </c>
      <c r="AG38">
        <f t="shared" si="14"/>
        <v>0.97060000000000002</v>
      </c>
      <c r="AH38">
        <f t="shared" si="15"/>
        <v>0.97060000000000002</v>
      </c>
      <c r="AI38">
        <f t="shared" si="16"/>
        <v>1</v>
      </c>
      <c r="AJ38">
        <f t="shared" si="17"/>
        <v>5.5599999999999997E-2</v>
      </c>
    </row>
    <row r="39" spans="1:36" x14ac:dyDescent="0.25">
      <c r="A39" s="1">
        <v>45971.541666666664</v>
      </c>
      <c r="B39" s="2" t="s">
        <v>48</v>
      </c>
      <c r="C39">
        <v>8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3</v>
      </c>
      <c r="K39">
        <f t="shared" si="0"/>
        <v>12</v>
      </c>
      <c r="L39">
        <f t="shared" si="1"/>
        <v>0.88890000000000002</v>
      </c>
      <c r="M39">
        <f t="shared" si="2"/>
        <v>0.88890000000000002</v>
      </c>
      <c r="N39">
        <f t="shared" si="3"/>
        <v>0.88890000000000002</v>
      </c>
      <c r="O39">
        <f t="shared" si="4"/>
        <v>1</v>
      </c>
      <c r="P39">
        <f t="shared" si="5"/>
        <v>0.25</v>
      </c>
      <c r="Q39">
        <v>34</v>
      </c>
      <c r="R39">
        <v>5</v>
      </c>
      <c r="S39">
        <v>3</v>
      </c>
      <c r="T39">
        <v>4</v>
      </c>
      <c r="U39">
        <v>2</v>
      </c>
      <c r="V39">
        <v>1</v>
      </c>
      <c r="W39">
        <v>0</v>
      </c>
      <c r="X39">
        <v>0</v>
      </c>
      <c r="Y39">
        <f t="shared" si="6"/>
        <v>49</v>
      </c>
      <c r="Z39">
        <f t="shared" si="7"/>
        <v>61</v>
      </c>
      <c r="AA39">
        <f t="shared" si="8"/>
        <v>0.69389999999999996</v>
      </c>
      <c r="AB39">
        <f t="shared" si="9"/>
        <v>0.79590000000000005</v>
      </c>
      <c r="AC39">
        <f t="shared" si="10"/>
        <v>0.85709999999999997</v>
      </c>
      <c r="AD39">
        <f t="shared" si="11"/>
        <v>0.93879999999999997</v>
      </c>
      <c r="AE39">
        <f t="shared" si="12"/>
        <v>0</v>
      </c>
      <c r="AF39">
        <f t="shared" si="13"/>
        <v>0.72409999999999997</v>
      </c>
      <c r="AG39">
        <f t="shared" si="14"/>
        <v>0.81030000000000002</v>
      </c>
      <c r="AH39">
        <f t="shared" si="15"/>
        <v>0.86209999999999998</v>
      </c>
      <c r="AI39">
        <f t="shared" si="16"/>
        <v>0.94830000000000003</v>
      </c>
      <c r="AJ39">
        <f t="shared" si="17"/>
        <v>4.9200000000000001E-2</v>
      </c>
    </row>
    <row r="40" spans="1:36" x14ac:dyDescent="0.25">
      <c r="A40" s="1">
        <v>45971.583333333336</v>
      </c>
      <c r="B40" s="2" t="s">
        <v>49</v>
      </c>
      <c r="C40">
        <v>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f t="shared" si="0"/>
        <v>8</v>
      </c>
      <c r="L40">
        <f t="shared" si="1"/>
        <v>1</v>
      </c>
      <c r="M40">
        <f t="shared" si="2"/>
        <v>1</v>
      </c>
      <c r="N40">
        <f t="shared" si="3"/>
        <v>1</v>
      </c>
      <c r="O40">
        <f t="shared" si="4"/>
        <v>1</v>
      </c>
      <c r="P40">
        <f t="shared" si="5"/>
        <v>0.125</v>
      </c>
      <c r="Q40">
        <v>31</v>
      </c>
      <c r="R40">
        <v>5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f t="shared" si="6"/>
        <v>36</v>
      </c>
      <c r="Z40">
        <f t="shared" si="7"/>
        <v>44</v>
      </c>
      <c r="AA40">
        <f t="shared" si="8"/>
        <v>0.86109999999999998</v>
      </c>
      <c r="AB40">
        <f t="shared" si="9"/>
        <v>1</v>
      </c>
      <c r="AC40">
        <f t="shared" si="10"/>
        <v>1</v>
      </c>
      <c r="AD40">
        <f t="shared" si="11"/>
        <v>1</v>
      </c>
      <c r="AE40">
        <f t="shared" si="12"/>
        <v>0</v>
      </c>
      <c r="AF40">
        <f t="shared" si="13"/>
        <v>0.88370000000000004</v>
      </c>
      <c r="AG40">
        <f t="shared" si="14"/>
        <v>1</v>
      </c>
      <c r="AH40">
        <f t="shared" si="15"/>
        <v>1</v>
      </c>
      <c r="AI40">
        <f t="shared" si="16"/>
        <v>1</v>
      </c>
      <c r="AJ40">
        <f t="shared" si="17"/>
        <v>2.2700000000000001E-2</v>
      </c>
    </row>
    <row r="41" spans="1:36" x14ac:dyDescent="0.25">
      <c r="A41" s="1">
        <v>45971.625</v>
      </c>
      <c r="B41" s="2" t="s">
        <v>50</v>
      </c>
      <c r="C41">
        <v>7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f t="shared" si="0"/>
        <v>9</v>
      </c>
      <c r="L41">
        <f t="shared" si="1"/>
        <v>0.77780000000000005</v>
      </c>
      <c r="M41">
        <f t="shared" si="2"/>
        <v>0.88890000000000002</v>
      </c>
      <c r="N41">
        <f t="shared" si="3"/>
        <v>1</v>
      </c>
      <c r="O41">
        <f t="shared" si="4"/>
        <v>1</v>
      </c>
      <c r="P41">
        <f t="shared" si="5"/>
        <v>0</v>
      </c>
      <c r="Q41">
        <v>29</v>
      </c>
      <c r="R41">
        <v>7</v>
      </c>
      <c r="S41">
        <v>1</v>
      </c>
      <c r="T41">
        <v>1</v>
      </c>
      <c r="U41">
        <v>0</v>
      </c>
      <c r="V41">
        <v>0</v>
      </c>
      <c r="W41">
        <v>0</v>
      </c>
      <c r="X41">
        <v>0</v>
      </c>
      <c r="Y41">
        <f t="shared" si="6"/>
        <v>38</v>
      </c>
      <c r="Z41">
        <f t="shared" si="7"/>
        <v>47</v>
      </c>
      <c r="AA41">
        <f t="shared" si="8"/>
        <v>0.76319999999999999</v>
      </c>
      <c r="AB41">
        <f t="shared" si="9"/>
        <v>0.94740000000000002</v>
      </c>
      <c r="AC41">
        <f t="shared" si="10"/>
        <v>0.97370000000000001</v>
      </c>
      <c r="AD41">
        <f t="shared" si="11"/>
        <v>1</v>
      </c>
      <c r="AE41">
        <f t="shared" si="12"/>
        <v>0</v>
      </c>
      <c r="AF41">
        <f t="shared" si="13"/>
        <v>0.76600000000000001</v>
      </c>
      <c r="AG41">
        <f t="shared" si="14"/>
        <v>0.93620000000000003</v>
      </c>
      <c r="AH41">
        <f t="shared" si="15"/>
        <v>0.97870000000000001</v>
      </c>
      <c r="AI41">
        <f t="shared" si="16"/>
        <v>1</v>
      </c>
      <c r="AJ41">
        <f t="shared" si="17"/>
        <v>0</v>
      </c>
    </row>
    <row r="42" spans="1:36" x14ac:dyDescent="0.25">
      <c r="A42" s="1">
        <v>45971.666666666664</v>
      </c>
      <c r="B42" s="2" t="s">
        <v>51</v>
      </c>
      <c r="C42">
        <v>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</v>
      </c>
      <c r="K42">
        <f t="shared" si="0"/>
        <v>7</v>
      </c>
      <c r="L42">
        <f t="shared" si="1"/>
        <v>1</v>
      </c>
      <c r="M42">
        <f t="shared" si="2"/>
        <v>1</v>
      </c>
      <c r="N42">
        <f t="shared" si="3"/>
        <v>1</v>
      </c>
      <c r="O42">
        <f t="shared" si="4"/>
        <v>1</v>
      </c>
      <c r="P42">
        <f t="shared" si="5"/>
        <v>0.28570000000000001</v>
      </c>
      <c r="Q42">
        <v>26</v>
      </c>
      <c r="R42">
        <v>7</v>
      </c>
      <c r="S42">
        <v>1</v>
      </c>
      <c r="T42">
        <v>3</v>
      </c>
      <c r="U42">
        <v>0</v>
      </c>
      <c r="V42">
        <v>0</v>
      </c>
      <c r="W42">
        <v>0</v>
      </c>
      <c r="X42">
        <v>3</v>
      </c>
      <c r="Y42">
        <f t="shared" si="6"/>
        <v>40</v>
      </c>
      <c r="Z42">
        <f t="shared" si="7"/>
        <v>47</v>
      </c>
      <c r="AA42">
        <f t="shared" si="8"/>
        <v>0.70269999999999999</v>
      </c>
      <c r="AB42">
        <f t="shared" si="9"/>
        <v>0.89190000000000003</v>
      </c>
      <c r="AC42">
        <f t="shared" si="10"/>
        <v>0.91890000000000005</v>
      </c>
      <c r="AD42">
        <f t="shared" si="11"/>
        <v>1</v>
      </c>
      <c r="AE42">
        <f t="shared" si="12"/>
        <v>7.4999999999999997E-2</v>
      </c>
      <c r="AF42">
        <f t="shared" si="13"/>
        <v>0.73809999999999998</v>
      </c>
      <c r="AG42">
        <f t="shared" si="14"/>
        <v>0.90480000000000005</v>
      </c>
      <c r="AH42">
        <f t="shared" si="15"/>
        <v>0.92859999999999998</v>
      </c>
      <c r="AI42">
        <f t="shared" si="16"/>
        <v>1</v>
      </c>
      <c r="AJ42">
        <f t="shared" si="17"/>
        <v>0.10639999999999999</v>
      </c>
    </row>
    <row r="43" spans="1:36" x14ac:dyDescent="0.25">
      <c r="A43" s="1">
        <v>45971.708333333336</v>
      </c>
      <c r="B43" s="2" t="s">
        <v>52</v>
      </c>
      <c r="C43">
        <v>5</v>
      </c>
      <c r="D43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f t="shared" si="0"/>
        <v>8</v>
      </c>
      <c r="L43">
        <f t="shared" si="1"/>
        <v>0.71430000000000005</v>
      </c>
      <c r="M43">
        <f t="shared" si="2"/>
        <v>1</v>
      </c>
      <c r="N43">
        <f t="shared" si="3"/>
        <v>1</v>
      </c>
      <c r="O43">
        <f t="shared" si="4"/>
        <v>1</v>
      </c>
      <c r="P43">
        <f t="shared" si="5"/>
        <v>0.125</v>
      </c>
      <c r="Q43">
        <v>20</v>
      </c>
      <c r="R43">
        <v>2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f t="shared" si="6"/>
        <v>24</v>
      </c>
      <c r="Z43">
        <f t="shared" si="7"/>
        <v>32</v>
      </c>
      <c r="AA43">
        <f t="shared" si="8"/>
        <v>0.83330000000000004</v>
      </c>
      <c r="AB43">
        <f t="shared" si="9"/>
        <v>0.91669999999999996</v>
      </c>
      <c r="AC43">
        <f t="shared" si="10"/>
        <v>0.95830000000000004</v>
      </c>
      <c r="AD43">
        <f t="shared" si="11"/>
        <v>1</v>
      </c>
      <c r="AE43">
        <f t="shared" si="12"/>
        <v>0</v>
      </c>
      <c r="AF43">
        <f t="shared" si="13"/>
        <v>0.80649999999999999</v>
      </c>
      <c r="AG43">
        <f t="shared" si="14"/>
        <v>0.9355</v>
      </c>
      <c r="AH43">
        <f t="shared" si="15"/>
        <v>0.9677</v>
      </c>
      <c r="AI43">
        <f t="shared" si="16"/>
        <v>1</v>
      </c>
      <c r="AJ43">
        <f t="shared" si="17"/>
        <v>3.1300000000000001E-2</v>
      </c>
    </row>
    <row r="44" spans="1:36" x14ac:dyDescent="0.25">
      <c r="A44" s="1">
        <v>45971.75</v>
      </c>
      <c r="B44" s="2" t="s">
        <v>53</v>
      </c>
      <c r="C44">
        <v>13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3</v>
      </c>
      <c r="K44">
        <f t="shared" si="0"/>
        <v>17</v>
      </c>
      <c r="L44">
        <f t="shared" si="1"/>
        <v>0.92859999999999998</v>
      </c>
      <c r="M44">
        <f t="shared" si="2"/>
        <v>0.92859999999999998</v>
      </c>
      <c r="N44">
        <f t="shared" si="3"/>
        <v>0.92859999999999998</v>
      </c>
      <c r="O44">
        <f t="shared" si="4"/>
        <v>0.92859999999999998</v>
      </c>
      <c r="P44">
        <f t="shared" si="5"/>
        <v>0.17649999999999999</v>
      </c>
      <c r="Q44">
        <v>24</v>
      </c>
      <c r="R44">
        <v>1</v>
      </c>
      <c r="S44">
        <v>1</v>
      </c>
      <c r="T44">
        <v>0</v>
      </c>
      <c r="U44">
        <v>1</v>
      </c>
      <c r="V44">
        <v>0</v>
      </c>
      <c r="W44">
        <v>0</v>
      </c>
      <c r="X44">
        <v>1</v>
      </c>
      <c r="Y44">
        <f t="shared" si="6"/>
        <v>28</v>
      </c>
      <c r="Z44">
        <f t="shared" si="7"/>
        <v>45</v>
      </c>
      <c r="AA44">
        <f t="shared" si="8"/>
        <v>0.88890000000000002</v>
      </c>
      <c r="AB44">
        <f t="shared" si="9"/>
        <v>0.92589999999999995</v>
      </c>
      <c r="AC44">
        <f t="shared" si="10"/>
        <v>0.96299999999999997</v>
      </c>
      <c r="AD44">
        <f t="shared" si="11"/>
        <v>0.96299999999999997</v>
      </c>
      <c r="AE44">
        <f t="shared" si="12"/>
        <v>3.5700000000000003E-2</v>
      </c>
      <c r="AF44">
        <f t="shared" si="13"/>
        <v>0.90239999999999998</v>
      </c>
      <c r="AG44">
        <f t="shared" si="14"/>
        <v>0.92679999999999996</v>
      </c>
      <c r="AH44">
        <f t="shared" si="15"/>
        <v>0.95120000000000005</v>
      </c>
      <c r="AI44">
        <f t="shared" si="16"/>
        <v>0.95120000000000005</v>
      </c>
      <c r="AJ44">
        <f t="shared" si="17"/>
        <v>8.8900000000000007E-2</v>
      </c>
    </row>
    <row r="45" spans="1:36" x14ac:dyDescent="0.25">
      <c r="A45" s="1">
        <v>45971.791666666664</v>
      </c>
      <c r="B45" s="2" t="s">
        <v>54</v>
      </c>
      <c r="C45">
        <v>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</v>
      </c>
      <c r="K45">
        <f t="shared" si="0"/>
        <v>8</v>
      </c>
      <c r="L45">
        <f t="shared" si="1"/>
        <v>1</v>
      </c>
      <c r="M45">
        <f t="shared" si="2"/>
        <v>1</v>
      </c>
      <c r="N45">
        <f t="shared" si="3"/>
        <v>1</v>
      </c>
      <c r="O45">
        <f t="shared" si="4"/>
        <v>1</v>
      </c>
      <c r="P45">
        <f t="shared" si="5"/>
        <v>0.25</v>
      </c>
      <c r="Q45">
        <v>10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f t="shared" si="6"/>
        <v>10</v>
      </c>
      <c r="Z45">
        <f t="shared" si="7"/>
        <v>18</v>
      </c>
      <c r="AA45">
        <f t="shared" si="8"/>
        <v>1</v>
      </c>
      <c r="AB45">
        <f t="shared" si="9"/>
        <v>1</v>
      </c>
      <c r="AC45">
        <f t="shared" si="10"/>
        <v>1</v>
      </c>
      <c r="AD45">
        <f t="shared" si="11"/>
        <v>1</v>
      </c>
      <c r="AE45">
        <f t="shared" si="12"/>
        <v>0</v>
      </c>
      <c r="AF45">
        <f t="shared" si="13"/>
        <v>1</v>
      </c>
      <c r="AG45">
        <f t="shared" si="14"/>
        <v>1</v>
      </c>
      <c r="AH45">
        <f t="shared" si="15"/>
        <v>1</v>
      </c>
      <c r="AI45">
        <f t="shared" si="16"/>
        <v>1</v>
      </c>
      <c r="AJ45">
        <f t="shared" si="17"/>
        <v>0.1111</v>
      </c>
    </row>
    <row r="46" spans="1:36" x14ac:dyDescent="0.25">
      <c r="A46" s="1">
        <v>45971.833333333336</v>
      </c>
      <c r="B46" s="2" t="s">
        <v>55</v>
      </c>
      <c r="C46">
        <v>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f t="shared" si="0"/>
        <v>4</v>
      </c>
      <c r="L46">
        <f t="shared" si="1"/>
        <v>1</v>
      </c>
      <c r="M46">
        <f t="shared" si="2"/>
        <v>1</v>
      </c>
      <c r="N46">
        <f t="shared" si="3"/>
        <v>1</v>
      </c>
      <c r="O46">
        <f t="shared" si="4"/>
        <v>1</v>
      </c>
      <c r="P46">
        <f t="shared" si="5"/>
        <v>0</v>
      </c>
      <c r="Q46">
        <v>8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f t="shared" si="6"/>
        <v>9</v>
      </c>
      <c r="Z46">
        <f t="shared" si="7"/>
        <v>13</v>
      </c>
      <c r="AA46">
        <f t="shared" si="8"/>
        <v>0.88890000000000002</v>
      </c>
      <c r="AB46">
        <f t="shared" si="9"/>
        <v>1</v>
      </c>
      <c r="AC46">
        <f t="shared" si="10"/>
        <v>1</v>
      </c>
      <c r="AD46">
        <f t="shared" si="11"/>
        <v>1</v>
      </c>
      <c r="AE46">
        <f t="shared" si="12"/>
        <v>0</v>
      </c>
      <c r="AF46">
        <f t="shared" si="13"/>
        <v>0.92310000000000003</v>
      </c>
      <c r="AG46">
        <f t="shared" si="14"/>
        <v>1</v>
      </c>
      <c r="AH46">
        <f t="shared" si="15"/>
        <v>1</v>
      </c>
      <c r="AI46">
        <f t="shared" si="16"/>
        <v>1</v>
      </c>
      <c r="AJ46">
        <f t="shared" si="17"/>
        <v>0</v>
      </c>
    </row>
    <row r="47" spans="1:36" x14ac:dyDescent="0.25">
      <c r="A47" s="1">
        <v>45971.875</v>
      </c>
      <c r="B47" s="2" t="s">
        <v>56</v>
      </c>
      <c r="C47">
        <v>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2</v>
      </c>
      <c r="K47">
        <f t="shared" si="0"/>
        <v>10</v>
      </c>
      <c r="L47">
        <f t="shared" si="1"/>
        <v>1</v>
      </c>
      <c r="M47">
        <f t="shared" si="2"/>
        <v>1</v>
      </c>
      <c r="N47">
        <f t="shared" si="3"/>
        <v>1</v>
      </c>
      <c r="O47">
        <f t="shared" si="4"/>
        <v>1</v>
      </c>
      <c r="P47">
        <f t="shared" si="5"/>
        <v>0.2</v>
      </c>
      <c r="Q47">
        <v>10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f t="shared" si="6"/>
        <v>10</v>
      </c>
      <c r="Z47">
        <f t="shared" si="7"/>
        <v>20</v>
      </c>
      <c r="AA47">
        <f t="shared" si="8"/>
        <v>1</v>
      </c>
      <c r="AB47">
        <f t="shared" si="9"/>
        <v>1</v>
      </c>
      <c r="AC47">
        <f t="shared" si="10"/>
        <v>1</v>
      </c>
      <c r="AD47">
        <f t="shared" si="11"/>
        <v>1</v>
      </c>
      <c r="AE47">
        <f t="shared" si="12"/>
        <v>0</v>
      </c>
      <c r="AF47">
        <f t="shared" si="13"/>
        <v>1</v>
      </c>
      <c r="AG47">
        <f t="shared" si="14"/>
        <v>1</v>
      </c>
      <c r="AH47">
        <f t="shared" si="15"/>
        <v>1</v>
      </c>
      <c r="AI47">
        <f t="shared" si="16"/>
        <v>1</v>
      </c>
      <c r="AJ47">
        <f t="shared" si="17"/>
        <v>0.1</v>
      </c>
    </row>
    <row r="48" spans="1:36" x14ac:dyDescent="0.25">
      <c r="A48" s="1">
        <v>45971.916666666664</v>
      </c>
      <c r="B48" s="2" t="s">
        <v>57</v>
      </c>
      <c r="C48">
        <v>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f t="shared" si="0"/>
        <v>7</v>
      </c>
      <c r="L48">
        <f t="shared" si="1"/>
        <v>1</v>
      </c>
      <c r="M48">
        <f t="shared" si="2"/>
        <v>1</v>
      </c>
      <c r="N48">
        <f t="shared" si="3"/>
        <v>1</v>
      </c>
      <c r="O48">
        <f t="shared" si="4"/>
        <v>1</v>
      </c>
      <c r="P48">
        <f t="shared" si="5"/>
        <v>0</v>
      </c>
      <c r="Q48">
        <v>11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f t="shared" si="6"/>
        <v>11</v>
      </c>
      <c r="Z48">
        <f t="shared" si="7"/>
        <v>18</v>
      </c>
      <c r="AA48">
        <f t="shared" si="8"/>
        <v>1</v>
      </c>
      <c r="AB48">
        <f t="shared" si="9"/>
        <v>1</v>
      </c>
      <c r="AC48">
        <f t="shared" si="10"/>
        <v>1</v>
      </c>
      <c r="AD48">
        <f t="shared" si="11"/>
        <v>1</v>
      </c>
      <c r="AE48">
        <f t="shared" si="12"/>
        <v>0</v>
      </c>
      <c r="AF48">
        <f t="shared" si="13"/>
        <v>1</v>
      </c>
      <c r="AG48">
        <f t="shared" si="14"/>
        <v>1</v>
      </c>
      <c r="AH48">
        <f t="shared" si="15"/>
        <v>1</v>
      </c>
      <c r="AI48">
        <f t="shared" si="16"/>
        <v>1</v>
      </c>
      <c r="AJ48">
        <f t="shared" si="17"/>
        <v>0</v>
      </c>
    </row>
    <row r="49" spans="1:36" x14ac:dyDescent="0.25">
      <c r="A49" s="1">
        <v>45971.958333333336</v>
      </c>
      <c r="B49" s="2" t="s">
        <v>58</v>
      </c>
      <c r="C49">
        <v>5</v>
      </c>
      <c r="D49">
        <v>1</v>
      </c>
      <c r="E49">
        <v>0</v>
      </c>
      <c r="F49">
        <v>2</v>
      </c>
      <c r="G49">
        <v>0</v>
      </c>
      <c r="H49">
        <v>0</v>
      </c>
      <c r="I49">
        <v>0</v>
      </c>
      <c r="J49">
        <v>1</v>
      </c>
      <c r="K49">
        <f t="shared" si="0"/>
        <v>9</v>
      </c>
      <c r="L49">
        <f t="shared" si="1"/>
        <v>0.625</v>
      </c>
      <c r="M49">
        <f t="shared" si="2"/>
        <v>0.75</v>
      </c>
      <c r="N49">
        <f t="shared" si="3"/>
        <v>0.75</v>
      </c>
      <c r="O49">
        <f t="shared" si="4"/>
        <v>1</v>
      </c>
      <c r="P49">
        <f t="shared" si="5"/>
        <v>0.1111</v>
      </c>
      <c r="Q49">
        <v>13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f t="shared" si="6"/>
        <v>13</v>
      </c>
      <c r="Z49">
        <f t="shared" si="7"/>
        <v>22</v>
      </c>
      <c r="AA49">
        <f t="shared" si="8"/>
        <v>1</v>
      </c>
      <c r="AB49">
        <f t="shared" si="9"/>
        <v>1</v>
      </c>
      <c r="AC49">
        <f t="shared" si="10"/>
        <v>1</v>
      </c>
      <c r="AD49">
        <f t="shared" si="11"/>
        <v>1</v>
      </c>
      <c r="AE49">
        <f t="shared" si="12"/>
        <v>0</v>
      </c>
      <c r="AF49">
        <f t="shared" si="13"/>
        <v>0.85709999999999997</v>
      </c>
      <c r="AG49">
        <f t="shared" si="14"/>
        <v>0.90480000000000005</v>
      </c>
      <c r="AH49">
        <f t="shared" si="15"/>
        <v>0.90480000000000005</v>
      </c>
      <c r="AI49">
        <f t="shared" si="16"/>
        <v>1</v>
      </c>
      <c r="AJ49">
        <f t="shared" si="17"/>
        <v>4.5499999999999999E-2</v>
      </c>
    </row>
    <row r="50" spans="1:36" x14ac:dyDescent="0.25">
      <c r="A50" s="1">
        <v>45972</v>
      </c>
      <c r="B50" s="2" t="s">
        <v>35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f t="shared" si="0"/>
        <v>1</v>
      </c>
      <c r="L50">
        <v>0</v>
      </c>
      <c r="M50">
        <v>0</v>
      </c>
      <c r="N50">
        <v>0</v>
      </c>
      <c r="O50">
        <v>0</v>
      </c>
      <c r="P50">
        <f t="shared" si="5"/>
        <v>1</v>
      </c>
      <c r="Q50">
        <v>7</v>
      </c>
      <c r="R50">
        <v>1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f t="shared" si="6"/>
        <v>9</v>
      </c>
      <c r="Z50">
        <f t="shared" si="7"/>
        <v>10</v>
      </c>
      <c r="AA50">
        <f t="shared" si="8"/>
        <v>0.77780000000000005</v>
      </c>
      <c r="AB50">
        <f t="shared" si="9"/>
        <v>0.88890000000000002</v>
      </c>
      <c r="AC50">
        <f t="shared" si="10"/>
        <v>1</v>
      </c>
      <c r="AD50">
        <f t="shared" si="11"/>
        <v>1</v>
      </c>
      <c r="AE50">
        <f t="shared" si="12"/>
        <v>0</v>
      </c>
      <c r="AF50">
        <f t="shared" si="13"/>
        <v>0.77780000000000005</v>
      </c>
      <c r="AG50">
        <f t="shared" si="14"/>
        <v>0.88890000000000002</v>
      </c>
      <c r="AH50">
        <f t="shared" si="15"/>
        <v>1</v>
      </c>
      <c r="AI50">
        <f t="shared" si="16"/>
        <v>1</v>
      </c>
      <c r="AJ50">
        <f t="shared" si="17"/>
        <v>0.1</v>
      </c>
    </row>
    <row r="51" spans="1:36" x14ac:dyDescent="0.25">
      <c r="A51" s="1">
        <v>45972.041666666664</v>
      </c>
      <c r="B51" s="2" t="s">
        <v>36</v>
      </c>
      <c r="C51">
        <v>3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1</v>
      </c>
      <c r="K51">
        <f t="shared" si="0"/>
        <v>5</v>
      </c>
      <c r="L51">
        <f t="shared" si="1"/>
        <v>0.75</v>
      </c>
      <c r="M51">
        <f t="shared" si="2"/>
        <v>0.75</v>
      </c>
      <c r="N51">
        <f t="shared" si="3"/>
        <v>0.75</v>
      </c>
      <c r="O51">
        <f t="shared" si="4"/>
        <v>1</v>
      </c>
      <c r="P51">
        <f t="shared" si="5"/>
        <v>0.2</v>
      </c>
      <c r="Q51">
        <v>11</v>
      </c>
      <c r="R51">
        <v>0</v>
      </c>
      <c r="S51">
        <v>1</v>
      </c>
      <c r="T51">
        <v>0</v>
      </c>
      <c r="U51">
        <v>1</v>
      </c>
      <c r="V51">
        <v>0</v>
      </c>
      <c r="W51">
        <v>0</v>
      </c>
      <c r="X51">
        <v>1</v>
      </c>
      <c r="Y51">
        <f t="shared" si="6"/>
        <v>14</v>
      </c>
      <c r="Z51">
        <f t="shared" si="7"/>
        <v>19</v>
      </c>
      <c r="AA51">
        <f t="shared" si="8"/>
        <v>0.84619999999999995</v>
      </c>
      <c r="AB51">
        <f t="shared" si="9"/>
        <v>0.84619999999999995</v>
      </c>
      <c r="AC51">
        <f t="shared" si="10"/>
        <v>0.92310000000000003</v>
      </c>
      <c r="AD51">
        <f t="shared" si="11"/>
        <v>0.92310000000000003</v>
      </c>
      <c r="AE51">
        <f t="shared" si="12"/>
        <v>7.1400000000000005E-2</v>
      </c>
      <c r="AF51">
        <f t="shared" si="13"/>
        <v>0.82350000000000001</v>
      </c>
      <c r="AG51">
        <f t="shared" si="14"/>
        <v>0.82350000000000001</v>
      </c>
      <c r="AH51">
        <f t="shared" si="15"/>
        <v>0.88239999999999996</v>
      </c>
      <c r="AI51">
        <f t="shared" si="16"/>
        <v>0.94120000000000004</v>
      </c>
      <c r="AJ51">
        <f t="shared" si="17"/>
        <v>0.1053</v>
      </c>
    </row>
    <row r="52" spans="1:36" x14ac:dyDescent="0.25">
      <c r="A52" s="1">
        <v>45972.083333333336</v>
      </c>
      <c r="B52" s="2" t="s">
        <v>37</v>
      </c>
      <c r="C52">
        <v>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f t="shared" si="0"/>
        <v>5</v>
      </c>
      <c r="L52">
        <f t="shared" si="1"/>
        <v>1</v>
      </c>
      <c r="M52">
        <f t="shared" si="2"/>
        <v>1</v>
      </c>
      <c r="N52">
        <f t="shared" si="3"/>
        <v>1</v>
      </c>
      <c r="O52">
        <f t="shared" si="4"/>
        <v>1</v>
      </c>
      <c r="P52">
        <f t="shared" si="5"/>
        <v>0.2</v>
      </c>
      <c r="Q52">
        <v>12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f t="shared" si="6"/>
        <v>12</v>
      </c>
      <c r="Z52">
        <f t="shared" si="7"/>
        <v>17</v>
      </c>
      <c r="AA52">
        <f t="shared" si="8"/>
        <v>1</v>
      </c>
      <c r="AB52">
        <f t="shared" si="9"/>
        <v>1</v>
      </c>
      <c r="AC52">
        <f t="shared" si="10"/>
        <v>1</v>
      </c>
      <c r="AD52">
        <f t="shared" si="11"/>
        <v>1</v>
      </c>
      <c r="AE52">
        <f t="shared" si="12"/>
        <v>0</v>
      </c>
      <c r="AF52">
        <f t="shared" si="13"/>
        <v>1</v>
      </c>
      <c r="AG52">
        <f t="shared" si="14"/>
        <v>1</v>
      </c>
      <c r="AH52">
        <f t="shared" si="15"/>
        <v>1</v>
      </c>
      <c r="AI52">
        <f t="shared" si="16"/>
        <v>1</v>
      </c>
      <c r="AJ52">
        <f t="shared" si="17"/>
        <v>5.8799999999999998E-2</v>
      </c>
    </row>
    <row r="53" spans="1:36" x14ac:dyDescent="0.25">
      <c r="A53" s="1">
        <v>45972.125</v>
      </c>
      <c r="B53" s="2" t="s">
        <v>38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f t="shared" si="0"/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8</v>
      </c>
      <c r="R53">
        <v>1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f t="shared" si="6"/>
        <v>10</v>
      </c>
      <c r="Z53">
        <f t="shared" si="7"/>
        <v>10</v>
      </c>
      <c r="AA53">
        <f t="shared" si="8"/>
        <v>0.8</v>
      </c>
      <c r="AB53">
        <f t="shared" si="9"/>
        <v>0.9</v>
      </c>
      <c r="AC53">
        <f t="shared" si="10"/>
        <v>0.9</v>
      </c>
      <c r="AD53">
        <f t="shared" si="11"/>
        <v>0.9</v>
      </c>
      <c r="AE53">
        <f t="shared" si="12"/>
        <v>0</v>
      </c>
      <c r="AF53">
        <f t="shared" si="13"/>
        <v>0.8</v>
      </c>
      <c r="AG53">
        <f t="shared" si="14"/>
        <v>0.9</v>
      </c>
      <c r="AH53">
        <f t="shared" si="15"/>
        <v>0.9</v>
      </c>
      <c r="AI53">
        <f t="shared" si="16"/>
        <v>0.9</v>
      </c>
      <c r="AJ53">
        <f t="shared" si="17"/>
        <v>0</v>
      </c>
    </row>
    <row r="54" spans="1:36" x14ac:dyDescent="0.25">
      <c r="A54" s="1">
        <v>45972.166666666664</v>
      </c>
      <c r="B54" s="2" t="s">
        <v>39</v>
      </c>
      <c r="C54">
        <v>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</v>
      </c>
      <c r="K54">
        <f t="shared" si="0"/>
        <v>4</v>
      </c>
      <c r="L54">
        <f t="shared" si="1"/>
        <v>1</v>
      </c>
      <c r="M54">
        <f t="shared" si="2"/>
        <v>1</v>
      </c>
      <c r="N54">
        <f t="shared" si="3"/>
        <v>1</v>
      </c>
      <c r="O54">
        <f t="shared" si="4"/>
        <v>1</v>
      </c>
      <c r="P54">
        <f t="shared" si="5"/>
        <v>0.5</v>
      </c>
      <c r="Q54">
        <v>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f t="shared" si="6"/>
        <v>7</v>
      </c>
      <c r="Z54">
        <f t="shared" si="7"/>
        <v>11</v>
      </c>
      <c r="AA54">
        <f t="shared" si="8"/>
        <v>1</v>
      </c>
      <c r="AB54">
        <f t="shared" si="9"/>
        <v>1</v>
      </c>
      <c r="AC54">
        <f t="shared" si="10"/>
        <v>1</v>
      </c>
      <c r="AD54">
        <f t="shared" si="11"/>
        <v>1</v>
      </c>
      <c r="AE54">
        <f t="shared" si="12"/>
        <v>0</v>
      </c>
      <c r="AF54">
        <f t="shared" si="13"/>
        <v>1</v>
      </c>
      <c r="AG54">
        <f t="shared" si="14"/>
        <v>1</v>
      </c>
      <c r="AH54">
        <f t="shared" si="15"/>
        <v>1</v>
      </c>
      <c r="AI54">
        <f t="shared" si="16"/>
        <v>1</v>
      </c>
      <c r="AJ54">
        <f t="shared" si="17"/>
        <v>0.18179999999999999</v>
      </c>
    </row>
    <row r="55" spans="1:36" x14ac:dyDescent="0.25">
      <c r="A55" s="1">
        <v>45972.208333333336</v>
      </c>
      <c r="B55" s="2" t="s">
        <v>40</v>
      </c>
      <c r="C55">
        <v>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f t="shared" si="0"/>
        <v>4</v>
      </c>
      <c r="L55">
        <f t="shared" si="1"/>
        <v>1</v>
      </c>
      <c r="M55">
        <f t="shared" si="2"/>
        <v>1</v>
      </c>
      <c r="N55">
        <f t="shared" si="3"/>
        <v>1</v>
      </c>
      <c r="O55">
        <f t="shared" si="4"/>
        <v>1</v>
      </c>
      <c r="P55">
        <f t="shared" si="5"/>
        <v>0</v>
      </c>
      <c r="Q55">
        <v>7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f t="shared" si="6"/>
        <v>7</v>
      </c>
      <c r="Z55">
        <f t="shared" si="7"/>
        <v>11</v>
      </c>
      <c r="AA55">
        <f t="shared" si="8"/>
        <v>1</v>
      </c>
      <c r="AB55">
        <f t="shared" si="9"/>
        <v>1</v>
      </c>
      <c r="AC55">
        <f t="shared" si="10"/>
        <v>1</v>
      </c>
      <c r="AD55">
        <f t="shared" si="11"/>
        <v>1</v>
      </c>
      <c r="AE55">
        <f t="shared" si="12"/>
        <v>0</v>
      </c>
      <c r="AF55">
        <f t="shared" si="13"/>
        <v>1</v>
      </c>
      <c r="AG55">
        <f t="shared" si="14"/>
        <v>1</v>
      </c>
      <c r="AH55">
        <f t="shared" si="15"/>
        <v>1</v>
      </c>
      <c r="AI55">
        <f t="shared" si="16"/>
        <v>1</v>
      </c>
      <c r="AJ55">
        <f t="shared" si="17"/>
        <v>0</v>
      </c>
    </row>
    <row r="56" spans="1:36" x14ac:dyDescent="0.25">
      <c r="A56" s="1">
        <v>45972.25</v>
      </c>
      <c r="B56" s="2" t="s">
        <v>41</v>
      </c>
      <c r="C56">
        <v>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16</v>
      </c>
      <c r="K56">
        <f t="shared" si="0"/>
        <v>23</v>
      </c>
      <c r="L56">
        <f t="shared" si="1"/>
        <v>1</v>
      </c>
      <c r="M56">
        <f t="shared" si="2"/>
        <v>1</v>
      </c>
      <c r="N56">
        <f t="shared" si="3"/>
        <v>1</v>
      </c>
      <c r="O56">
        <f t="shared" si="4"/>
        <v>1</v>
      </c>
      <c r="P56">
        <f t="shared" si="5"/>
        <v>0.69569999999999999</v>
      </c>
      <c r="Q56">
        <v>12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f t="shared" si="6"/>
        <v>13</v>
      </c>
      <c r="Z56">
        <f t="shared" si="7"/>
        <v>36</v>
      </c>
      <c r="AA56">
        <f t="shared" si="8"/>
        <v>0.92310000000000003</v>
      </c>
      <c r="AB56">
        <f t="shared" si="9"/>
        <v>1</v>
      </c>
      <c r="AC56">
        <f t="shared" si="10"/>
        <v>1</v>
      </c>
      <c r="AD56">
        <f t="shared" si="11"/>
        <v>1</v>
      </c>
      <c r="AE56">
        <f t="shared" si="12"/>
        <v>0</v>
      </c>
      <c r="AF56">
        <f t="shared" si="13"/>
        <v>0.95</v>
      </c>
      <c r="AG56">
        <f t="shared" si="14"/>
        <v>1</v>
      </c>
      <c r="AH56">
        <f t="shared" si="15"/>
        <v>1</v>
      </c>
      <c r="AI56">
        <f t="shared" si="16"/>
        <v>1</v>
      </c>
      <c r="AJ56">
        <f t="shared" si="17"/>
        <v>0.44440000000000002</v>
      </c>
    </row>
    <row r="57" spans="1:36" x14ac:dyDescent="0.25">
      <c r="A57" s="1">
        <v>45972.291666666664</v>
      </c>
      <c r="B57" s="2" t="s">
        <v>42</v>
      </c>
      <c r="C57">
        <v>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6</v>
      </c>
      <c r="K57">
        <f t="shared" si="0"/>
        <v>12</v>
      </c>
      <c r="L57">
        <f t="shared" si="1"/>
        <v>1</v>
      </c>
      <c r="M57">
        <f t="shared" si="2"/>
        <v>1</v>
      </c>
      <c r="N57">
        <f t="shared" si="3"/>
        <v>1</v>
      </c>
      <c r="O57">
        <f t="shared" si="4"/>
        <v>1</v>
      </c>
      <c r="P57">
        <f t="shared" si="5"/>
        <v>0.5</v>
      </c>
      <c r="Q57">
        <v>16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f t="shared" si="6"/>
        <v>16</v>
      </c>
      <c r="Z57">
        <f t="shared" si="7"/>
        <v>28</v>
      </c>
      <c r="AA57">
        <f t="shared" si="8"/>
        <v>1</v>
      </c>
      <c r="AB57">
        <f t="shared" si="9"/>
        <v>1</v>
      </c>
      <c r="AC57">
        <f t="shared" si="10"/>
        <v>1</v>
      </c>
      <c r="AD57">
        <f t="shared" si="11"/>
        <v>1</v>
      </c>
      <c r="AE57">
        <f t="shared" si="12"/>
        <v>0</v>
      </c>
      <c r="AF57">
        <f t="shared" si="13"/>
        <v>1</v>
      </c>
      <c r="AG57">
        <f t="shared" si="14"/>
        <v>1</v>
      </c>
      <c r="AH57">
        <f t="shared" si="15"/>
        <v>1</v>
      </c>
      <c r="AI57">
        <f t="shared" si="16"/>
        <v>1</v>
      </c>
      <c r="AJ57">
        <f t="shared" si="17"/>
        <v>0.21429999999999999</v>
      </c>
    </row>
    <row r="58" spans="1:36" x14ac:dyDescent="0.25">
      <c r="A58" s="1">
        <v>45972.333333333336</v>
      </c>
      <c r="B58" s="2" t="s">
        <v>43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4</v>
      </c>
      <c r="K58">
        <f t="shared" si="0"/>
        <v>6</v>
      </c>
      <c r="L58">
        <f t="shared" si="1"/>
        <v>1</v>
      </c>
      <c r="M58">
        <f t="shared" si="2"/>
        <v>1</v>
      </c>
      <c r="N58">
        <f t="shared" si="3"/>
        <v>1</v>
      </c>
      <c r="O58">
        <f t="shared" si="4"/>
        <v>1</v>
      </c>
      <c r="P58">
        <f t="shared" si="5"/>
        <v>0.66669999999999996</v>
      </c>
      <c r="Q58">
        <v>16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f t="shared" si="6"/>
        <v>16</v>
      </c>
      <c r="Z58">
        <f t="shared" si="7"/>
        <v>22</v>
      </c>
      <c r="AA58">
        <f t="shared" si="8"/>
        <v>1</v>
      </c>
      <c r="AB58">
        <f t="shared" si="9"/>
        <v>1</v>
      </c>
      <c r="AC58">
        <f t="shared" si="10"/>
        <v>1</v>
      </c>
      <c r="AD58">
        <f t="shared" si="11"/>
        <v>1</v>
      </c>
      <c r="AE58">
        <f t="shared" si="12"/>
        <v>0</v>
      </c>
      <c r="AF58">
        <f t="shared" si="13"/>
        <v>1</v>
      </c>
      <c r="AG58">
        <f t="shared" si="14"/>
        <v>1</v>
      </c>
      <c r="AH58">
        <f t="shared" si="15"/>
        <v>1</v>
      </c>
      <c r="AI58">
        <f t="shared" si="16"/>
        <v>1</v>
      </c>
      <c r="AJ58">
        <f t="shared" si="17"/>
        <v>0.18179999999999999</v>
      </c>
    </row>
    <row r="59" spans="1:36" x14ac:dyDescent="0.25">
      <c r="A59" s="1">
        <v>45972.375</v>
      </c>
      <c r="B59" s="2" t="s">
        <v>44</v>
      </c>
      <c r="C59">
        <v>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3</v>
      </c>
      <c r="K59">
        <f t="shared" si="0"/>
        <v>9</v>
      </c>
      <c r="L59">
        <f t="shared" si="1"/>
        <v>1</v>
      </c>
      <c r="M59">
        <f t="shared" si="2"/>
        <v>1</v>
      </c>
      <c r="N59">
        <f t="shared" si="3"/>
        <v>1</v>
      </c>
      <c r="O59">
        <f t="shared" si="4"/>
        <v>1</v>
      </c>
      <c r="P59">
        <f t="shared" si="5"/>
        <v>0.33329999999999999</v>
      </c>
      <c r="Q59">
        <v>8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f t="shared" si="6"/>
        <v>9</v>
      </c>
      <c r="Z59">
        <f t="shared" si="7"/>
        <v>18</v>
      </c>
      <c r="AA59">
        <f t="shared" si="8"/>
        <v>0.88890000000000002</v>
      </c>
      <c r="AB59">
        <f t="shared" si="9"/>
        <v>1</v>
      </c>
      <c r="AC59">
        <f t="shared" si="10"/>
        <v>1</v>
      </c>
      <c r="AD59">
        <f t="shared" si="11"/>
        <v>1</v>
      </c>
      <c r="AE59">
        <f t="shared" si="12"/>
        <v>0</v>
      </c>
      <c r="AF59">
        <f t="shared" si="13"/>
        <v>0.93330000000000002</v>
      </c>
      <c r="AG59">
        <f t="shared" si="14"/>
        <v>1</v>
      </c>
      <c r="AH59">
        <f t="shared" si="15"/>
        <v>1</v>
      </c>
      <c r="AI59">
        <f t="shared" si="16"/>
        <v>1</v>
      </c>
      <c r="AJ59">
        <f t="shared" si="17"/>
        <v>0.16669999999999999</v>
      </c>
    </row>
    <row r="60" spans="1:36" x14ac:dyDescent="0.25">
      <c r="A60" s="1">
        <v>45972.416666666664</v>
      </c>
      <c r="B60" s="2" t="s">
        <v>45</v>
      </c>
      <c r="C60">
        <v>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f t="shared" si="0"/>
        <v>10</v>
      </c>
      <c r="L60">
        <f t="shared" si="1"/>
        <v>1</v>
      </c>
      <c r="M60">
        <f t="shared" si="2"/>
        <v>1</v>
      </c>
      <c r="N60">
        <f t="shared" si="3"/>
        <v>1</v>
      </c>
      <c r="O60">
        <f t="shared" si="4"/>
        <v>1</v>
      </c>
      <c r="P60">
        <f t="shared" si="5"/>
        <v>0.1</v>
      </c>
      <c r="Q60">
        <v>13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f t="shared" si="6"/>
        <v>13</v>
      </c>
      <c r="Z60">
        <f t="shared" si="7"/>
        <v>23</v>
      </c>
      <c r="AA60">
        <f t="shared" si="8"/>
        <v>1</v>
      </c>
      <c r="AB60">
        <f t="shared" si="9"/>
        <v>1</v>
      </c>
      <c r="AC60">
        <f t="shared" si="10"/>
        <v>1</v>
      </c>
      <c r="AD60">
        <f t="shared" si="11"/>
        <v>1</v>
      </c>
      <c r="AE60">
        <f t="shared" si="12"/>
        <v>0</v>
      </c>
      <c r="AF60">
        <f t="shared" si="13"/>
        <v>1</v>
      </c>
      <c r="AG60">
        <f t="shared" si="14"/>
        <v>1</v>
      </c>
      <c r="AH60">
        <f t="shared" si="15"/>
        <v>1</v>
      </c>
      <c r="AI60">
        <f t="shared" si="16"/>
        <v>1</v>
      </c>
      <c r="AJ60">
        <f t="shared" si="17"/>
        <v>4.3499999999999997E-2</v>
      </c>
    </row>
    <row r="61" spans="1:36" x14ac:dyDescent="0.25">
      <c r="A61" s="1">
        <v>45972.458333333336</v>
      </c>
      <c r="B61" s="2" t="s">
        <v>46</v>
      </c>
      <c r="C61">
        <v>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f t="shared" si="0"/>
        <v>8</v>
      </c>
      <c r="L61">
        <f t="shared" si="1"/>
        <v>1</v>
      </c>
      <c r="M61">
        <f t="shared" si="2"/>
        <v>1</v>
      </c>
      <c r="N61">
        <f t="shared" si="3"/>
        <v>1</v>
      </c>
      <c r="O61">
        <f t="shared" si="4"/>
        <v>1</v>
      </c>
      <c r="P61">
        <f t="shared" si="5"/>
        <v>0.125</v>
      </c>
      <c r="Q61">
        <v>20</v>
      </c>
      <c r="R61">
        <v>2</v>
      </c>
      <c r="S61">
        <v>1</v>
      </c>
      <c r="T61">
        <v>2</v>
      </c>
      <c r="U61">
        <v>1</v>
      </c>
      <c r="V61">
        <v>0</v>
      </c>
      <c r="W61">
        <v>0</v>
      </c>
      <c r="X61">
        <v>2</v>
      </c>
      <c r="Y61">
        <f t="shared" si="6"/>
        <v>28</v>
      </c>
      <c r="Z61">
        <f t="shared" si="7"/>
        <v>36</v>
      </c>
      <c r="AA61">
        <f t="shared" si="8"/>
        <v>0.76919999999999999</v>
      </c>
      <c r="AB61">
        <f t="shared" si="9"/>
        <v>0.84619999999999995</v>
      </c>
      <c r="AC61">
        <f t="shared" si="10"/>
        <v>0.88460000000000005</v>
      </c>
      <c r="AD61">
        <f t="shared" si="11"/>
        <v>0.96150000000000002</v>
      </c>
      <c r="AE61">
        <f t="shared" si="12"/>
        <v>7.1400000000000005E-2</v>
      </c>
      <c r="AF61">
        <f t="shared" si="13"/>
        <v>0.81820000000000004</v>
      </c>
      <c r="AG61">
        <f t="shared" si="14"/>
        <v>0.87880000000000003</v>
      </c>
      <c r="AH61">
        <f t="shared" si="15"/>
        <v>0.90910000000000002</v>
      </c>
      <c r="AI61">
        <f t="shared" si="16"/>
        <v>0.96970000000000001</v>
      </c>
      <c r="AJ61">
        <f t="shared" si="17"/>
        <v>8.3299999999999999E-2</v>
      </c>
    </row>
    <row r="62" spans="1:36" x14ac:dyDescent="0.25">
      <c r="A62" s="1">
        <v>45972.5</v>
      </c>
      <c r="B62" s="2" t="s">
        <v>47</v>
      </c>
      <c r="C62">
        <v>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2</v>
      </c>
      <c r="K62">
        <f t="shared" si="0"/>
        <v>8</v>
      </c>
      <c r="L62">
        <f t="shared" si="1"/>
        <v>1</v>
      </c>
      <c r="M62">
        <f t="shared" si="2"/>
        <v>1</v>
      </c>
      <c r="N62">
        <f t="shared" si="3"/>
        <v>1</v>
      </c>
      <c r="O62">
        <f t="shared" si="4"/>
        <v>1</v>
      </c>
      <c r="P62">
        <f t="shared" si="5"/>
        <v>0.25</v>
      </c>
      <c r="Q62">
        <v>24</v>
      </c>
      <c r="R62">
        <v>1</v>
      </c>
      <c r="S62">
        <v>0</v>
      </c>
      <c r="T62">
        <v>1</v>
      </c>
      <c r="U62">
        <v>0</v>
      </c>
      <c r="V62">
        <v>1</v>
      </c>
      <c r="W62">
        <v>0</v>
      </c>
      <c r="X62">
        <v>0</v>
      </c>
      <c r="Y62">
        <f t="shared" si="6"/>
        <v>27</v>
      </c>
      <c r="Z62">
        <f t="shared" si="7"/>
        <v>35</v>
      </c>
      <c r="AA62">
        <f t="shared" si="8"/>
        <v>0.88890000000000002</v>
      </c>
      <c r="AB62">
        <f t="shared" si="9"/>
        <v>0.92589999999999995</v>
      </c>
      <c r="AC62">
        <f t="shared" si="10"/>
        <v>0.92589999999999995</v>
      </c>
      <c r="AD62">
        <f t="shared" si="11"/>
        <v>0.96299999999999997</v>
      </c>
      <c r="AE62">
        <f t="shared" si="12"/>
        <v>0</v>
      </c>
      <c r="AF62">
        <f t="shared" si="13"/>
        <v>0.90910000000000002</v>
      </c>
      <c r="AG62">
        <f t="shared" si="14"/>
        <v>0.93940000000000001</v>
      </c>
      <c r="AH62">
        <f t="shared" si="15"/>
        <v>0.93940000000000001</v>
      </c>
      <c r="AI62">
        <f t="shared" si="16"/>
        <v>0.96970000000000001</v>
      </c>
      <c r="AJ62">
        <f t="shared" si="17"/>
        <v>5.7099999999999998E-2</v>
      </c>
    </row>
    <row r="63" spans="1:36" x14ac:dyDescent="0.25">
      <c r="A63" s="1">
        <v>45972.541666666664</v>
      </c>
      <c r="B63" s="2" t="s">
        <v>48</v>
      </c>
      <c r="C63">
        <v>10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f t="shared" si="0"/>
        <v>11</v>
      </c>
      <c r="L63">
        <f t="shared" si="1"/>
        <v>0.90910000000000002</v>
      </c>
      <c r="M63">
        <f t="shared" si="2"/>
        <v>0.90910000000000002</v>
      </c>
      <c r="N63">
        <f t="shared" si="3"/>
        <v>1</v>
      </c>
      <c r="O63">
        <f t="shared" si="4"/>
        <v>1</v>
      </c>
      <c r="P63">
        <f t="shared" si="5"/>
        <v>0</v>
      </c>
      <c r="Q63">
        <v>19</v>
      </c>
      <c r="R63">
        <v>3</v>
      </c>
      <c r="S63">
        <v>2</v>
      </c>
      <c r="T63">
        <v>1</v>
      </c>
      <c r="U63">
        <v>0</v>
      </c>
      <c r="V63">
        <v>1</v>
      </c>
      <c r="W63">
        <v>0</v>
      </c>
      <c r="X63">
        <v>1</v>
      </c>
      <c r="Y63">
        <f t="shared" si="6"/>
        <v>27</v>
      </c>
      <c r="Z63">
        <f t="shared" si="7"/>
        <v>38</v>
      </c>
      <c r="AA63">
        <f t="shared" si="8"/>
        <v>0.73080000000000001</v>
      </c>
      <c r="AB63">
        <f t="shared" si="9"/>
        <v>0.84619999999999995</v>
      </c>
      <c r="AC63">
        <f t="shared" si="10"/>
        <v>0.92310000000000003</v>
      </c>
      <c r="AD63">
        <f t="shared" si="11"/>
        <v>0.96150000000000002</v>
      </c>
      <c r="AE63">
        <f t="shared" si="12"/>
        <v>3.6999999999999998E-2</v>
      </c>
      <c r="AF63">
        <f t="shared" si="13"/>
        <v>0.78380000000000005</v>
      </c>
      <c r="AG63">
        <f t="shared" si="14"/>
        <v>0.8649</v>
      </c>
      <c r="AH63">
        <f t="shared" si="15"/>
        <v>0.94589999999999996</v>
      </c>
      <c r="AI63">
        <f t="shared" si="16"/>
        <v>0.97299999999999998</v>
      </c>
      <c r="AJ63">
        <f t="shared" si="17"/>
        <v>2.63E-2</v>
      </c>
    </row>
    <row r="64" spans="1:36" x14ac:dyDescent="0.25">
      <c r="A64" s="1">
        <v>45972.583333333336</v>
      </c>
      <c r="B64" s="2" t="s">
        <v>49</v>
      </c>
      <c r="C64">
        <v>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f t="shared" si="0"/>
        <v>5</v>
      </c>
      <c r="L64">
        <f t="shared" si="1"/>
        <v>1</v>
      </c>
      <c r="M64">
        <f t="shared" si="2"/>
        <v>1</v>
      </c>
      <c r="N64">
        <f t="shared" si="3"/>
        <v>1</v>
      </c>
      <c r="O64">
        <f t="shared" si="4"/>
        <v>1</v>
      </c>
      <c r="P64">
        <f t="shared" si="5"/>
        <v>0.2</v>
      </c>
      <c r="Q64">
        <v>22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f t="shared" si="6"/>
        <v>23</v>
      </c>
      <c r="Z64">
        <f t="shared" si="7"/>
        <v>28</v>
      </c>
      <c r="AA64">
        <f t="shared" si="8"/>
        <v>0.95650000000000002</v>
      </c>
      <c r="AB64">
        <f t="shared" si="9"/>
        <v>0.95650000000000002</v>
      </c>
      <c r="AC64">
        <f t="shared" si="10"/>
        <v>1</v>
      </c>
      <c r="AD64">
        <f t="shared" si="11"/>
        <v>1</v>
      </c>
      <c r="AE64">
        <f t="shared" si="12"/>
        <v>0</v>
      </c>
      <c r="AF64">
        <f t="shared" si="13"/>
        <v>0.96299999999999997</v>
      </c>
      <c r="AG64">
        <f t="shared" si="14"/>
        <v>0.96299999999999997</v>
      </c>
      <c r="AH64">
        <f t="shared" si="15"/>
        <v>1</v>
      </c>
      <c r="AI64">
        <f t="shared" si="16"/>
        <v>1</v>
      </c>
      <c r="AJ64">
        <f t="shared" si="17"/>
        <v>3.5700000000000003E-2</v>
      </c>
    </row>
    <row r="65" spans="1:36" x14ac:dyDescent="0.25">
      <c r="A65" s="1">
        <v>45972.625</v>
      </c>
      <c r="B65" s="2" t="s">
        <v>50</v>
      </c>
      <c r="C65">
        <v>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f t="shared" si="0"/>
        <v>6</v>
      </c>
      <c r="L65">
        <f t="shared" si="1"/>
        <v>1</v>
      </c>
      <c r="M65">
        <f t="shared" si="2"/>
        <v>1</v>
      </c>
      <c r="N65">
        <f t="shared" si="3"/>
        <v>1</v>
      </c>
      <c r="O65">
        <f t="shared" si="4"/>
        <v>1</v>
      </c>
      <c r="P65">
        <f t="shared" si="5"/>
        <v>0</v>
      </c>
      <c r="Q65">
        <v>18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f t="shared" si="6"/>
        <v>18</v>
      </c>
      <c r="Z65">
        <f t="shared" si="7"/>
        <v>24</v>
      </c>
      <c r="AA65">
        <f t="shared" si="8"/>
        <v>1</v>
      </c>
      <c r="AB65">
        <f t="shared" si="9"/>
        <v>1</v>
      </c>
      <c r="AC65">
        <f t="shared" si="10"/>
        <v>1</v>
      </c>
      <c r="AD65">
        <f t="shared" si="11"/>
        <v>1</v>
      </c>
      <c r="AE65">
        <f t="shared" si="12"/>
        <v>0</v>
      </c>
      <c r="AF65">
        <f t="shared" si="13"/>
        <v>1</v>
      </c>
      <c r="AG65">
        <f t="shared" si="14"/>
        <v>1</v>
      </c>
      <c r="AH65">
        <f t="shared" si="15"/>
        <v>1</v>
      </c>
      <c r="AI65">
        <f t="shared" si="16"/>
        <v>1</v>
      </c>
      <c r="AJ65">
        <f t="shared" si="17"/>
        <v>0</v>
      </c>
    </row>
    <row r="66" spans="1:36" x14ac:dyDescent="0.25">
      <c r="A66" s="1">
        <v>45972.666666666664</v>
      </c>
      <c r="B66" s="2" t="s">
        <v>51</v>
      </c>
      <c r="C66">
        <v>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f t="shared" si="0"/>
        <v>10</v>
      </c>
      <c r="L66">
        <f t="shared" si="1"/>
        <v>1</v>
      </c>
      <c r="M66">
        <f t="shared" si="2"/>
        <v>1</v>
      </c>
      <c r="N66">
        <f t="shared" si="3"/>
        <v>1</v>
      </c>
      <c r="O66">
        <f t="shared" si="4"/>
        <v>1</v>
      </c>
      <c r="P66">
        <f t="shared" si="5"/>
        <v>0.1</v>
      </c>
      <c r="Q66">
        <v>25</v>
      </c>
      <c r="R66">
        <v>2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f t="shared" si="6"/>
        <v>27</v>
      </c>
      <c r="Z66">
        <f t="shared" si="7"/>
        <v>37</v>
      </c>
      <c r="AA66">
        <f t="shared" si="8"/>
        <v>0.92589999999999995</v>
      </c>
      <c r="AB66">
        <f t="shared" si="9"/>
        <v>1</v>
      </c>
      <c r="AC66">
        <f t="shared" si="10"/>
        <v>1</v>
      </c>
      <c r="AD66">
        <f t="shared" si="11"/>
        <v>1</v>
      </c>
      <c r="AE66">
        <f t="shared" si="12"/>
        <v>0</v>
      </c>
      <c r="AF66">
        <f t="shared" si="13"/>
        <v>0.94440000000000002</v>
      </c>
      <c r="AG66">
        <f t="shared" si="14"/>
        <v>1</v>
      </c>
      <c r="AH66">
        <f t="shared" si="15"/>
        <v>1</v>
      </c>
      <c r="AI66">
        <f t="shared" si="16"/>
        <v>1</v>
      </c>
      <c r="AJ66">
        <f t="shared" si="17"/>
        <v>2.7E-2</v>
      </c>
    </row>
    <row r="67" spans="1:36" x14ac:dyDescent="0.25">
      <c r="A67" s="1">
        <v>45972.708333333336</v>
      </c>
      <c r="B67" s="2" t="s">
        <v>52</v>
      </c>
      <c r="C67">
        <v>12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2</v>
      </c>
      <c r="K67">
        <f t="shared" ref="K67:K130" si="18">SUM(C67:J67)</f>
        <v>14</v>
      </c>
      <c r="L67">
        <f t="shared" ref="L67:L130" si="19">ROUND(C67/(K67-J67), 4)</f>
        <v>1</v>
      </c>
      <c r="M67">
        <f t="shared" ref="M67:M130" si="20">ROUND((SUM(C67:D67)/(K67-J67)), 4)</f>
        <v>1</v>
      </c>
      <c r="N67">
        <f t="shared" ref="N67:N130" si="21">ROUND(SUM(C67:E67)/(K67-J67), 4)</f>
        <v>1</v>
      </c>
      <c r="O67">
        <f t="shared" ref="O67:O130" si="22">ROUND(SUM(C67:F67)/(K67-J67), 4)</f>
        <v>1</v>
      </c>
      <c r="P67">
        <f t="shared" ref="P67:P130" si="23">ROUND(J67/K67, 4)</f>
        <v>0.1429</v>
      </c>
      <c r="Q67">
        <v>20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f t="shared" ref="Y67:Y130" si="24">SUM(Q67:X67)</f>
        <v>20</v>
      </c>
      <c r="Z67">
        <f t="shared" ref="Z67:Z130" si="25">SUM(K67,Y67)</f>
        <v>34</v>
      </c>
      <c r="AA67">
        <f t="shared" ref="AA67:AA130" si="26">ROUND(Q67/(Y67-X67), 4)</f>
        <v>1</v>
      </c>
      <c r="AB67">
        <f t="shared" ref="AB67:AB130" si="27">ROUND(SUM(Q67:R67)/(Y67-X67), 4)</f>
        <v>1</v>
      </c>
      <c r="AC67">
        <f t="shared" ref="AC67:AC130" si="28">ROUND(SUM(Q67:S67)/(Y67-X67), 4)</f>
        <v>1</v>
      </c>
      <c r="AD67">
        <f t="shared" ref="AD67:AD130" si="29">ROUND(SUM(Q67:T67)/(Y67-X67), 4)</f>
        <v>1</v>
      </c>
      <c r="AE67">
        <f t="shared" ref="AE67:AE130" si="30">ROUND(X67/Y67, 4)</f>
        <v>0</v>
      </c>
      <c r="AF67">
        <f t="shared" ref="AF67:AF130" si="31">ROUND(SUM(C67,Q67)/SUM((K67-J67),(Y67-X67)), 4)</f>
        <v>1</v>
      </c>
      <c r="AG67">
        <f t="shared" ref="AG67:AG130" si="32">ROUND(SUM(C67:D67,Q67:R67)/SUM((K67-J67),(Y67-X67)), 4)</f>
        <v>1</v>
      </c>
      <c r="AH67">
        <f t="shared" ref="AH67:AH130" si="33">ROUND(SUM(C67:E67,Q67:S67)/SUM((K67-J67),(Y67-X67)), 4)</f>
        <v>1</v>
      </c>
      <c r="AI67">
        <f t="shared" ref="AI67:AI130" si="34">ROUND(SUM(C67:F67,Q67:T67)/SUM((K67-J67),(Y67-X67)), 4)</f>
        <v>1</v>
      </c>
      <c r="AJ67">
        <f t="shared" ref="AJ67:AJ130" si="35">ROUND(SUM(J67,X67)/Z67, 4)</f>
        <v>5.8799999999999998E-2</v>
      </c>
    </row>
    <row r="68" spans="1:36" x14ac:dyDescent="0.25">
      <c r="A68" s="1">
        <v>45972.75</v>
      </c>
      <c r="B68" s="2" t="s">
        <v>53</v>
      </c>
      <c r="C68">
        <v>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f t="shared" si="18"/>
        <v>8</v>
      </c>
      <c r="L68">
        <f t="shared" si="19"/>
        <v>1</v>
      </c>
      <c r="M68">
        <f t="shared" si="20"/>
        <v>1</v>
      </c>
      <c r="N68">
        <f t="shared" si="21"/>
        <v>1</v>
      </c>
      <c r="O68">
        <f t="shared" si="22"/>
        <v>1</v>
      </c>
      <c r="P68">
        <f t="shared" si="23"/>
        <v>0</v>
      </c>
      <c r="Q68">
        <v>5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f t="shared" si="24"/>
        <v>6</v>
      </c>
      <c r="Z68">
        <f t="shared" si="25"/>
        <v>14</v>
      </c>
      <c r="AA68">
        <f t="shared" si="26"/>
        <v>0.83330000000000004</v>
      </c>
      <c r="AB68">
        <f t="shared" si="27"/>
        <v>1</v>
      </c>
      <c r="AC68">
        <f t="shared" si="28"/>
        <v>1</v>
      </c>
      <c r="AD68">
        <f t="shared" si="29"/>
        <v>1</v>
      </c>
      <c r="AE68">
        <f t="shared" si="30"/>
        <v>0</v>
      </c>
      <c r="AF68">
        <f t="shared" si="31"/>
        <v>0.92859999999999998</v>
      </c>
      <c r="AG68">
        <f t="shared" si="32"/>
        <v>1</v>
      </c>
      <c r="AH68">
        <f t="shared" si="33"/>
        <v>1</v>
      </c>
      <c r="AI68">
        <f t="shared" si="34"/>
        <v>1</v>
      </c>
      <c r="AJ68">
        <f t="shared" si="35"/>
        <v>0</v>
      </c>
    </row>
    <row r="69" spans="1:36" x14ac:dyDescent="0.25">
      <c r="A69" s="1">
        <v>45972.791666666664</v>
      </c>
      <c r="B69" s="2" t="s">
        <v>54</v>
      </c>
      <c r="C69">
        <v>10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f t="shared" si="18"/>
        <v>10</v>
      </c>
      <c r="L69">
        <f t="shared" si="19"/>
        <v>1</v>
      </c>
      <c r="M69">
        <f t="shared" si="20"/>
        <v>1</v>
      </c>
      <c r="N69">
        <f t="shared" si="21"/>
        <v>1</v>
      </c>
      <c r="O69">
        <f t="shared" si="22"/>
        <v>1</v>
      </c>
      <c r="P69">
        <f t="shared" si="23"/>
        <v>0</v>
      </c>
      <c r="Q69">
        <v>8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f t="shared" si="24"/>
        <v>8</v>
      </c>
      <c r="Z69">
        <f t="shared" si="25"/>
        <v>18</v>
      </c>
      <c r="AA69">
        <f t="shared" si="26"/>
        <v>1</v>
      </c>
      <c r="AB69">
        <f t="shared" si="27"/>
        <v>1</v>
      </c>
      <c r="AC69">
        <f t="shared" si="28"/>
        <v>1</v>
      </c>
      <c r="AD69">
        <f t="shared" si="29"/>
        <v>1</v>
      </c>
      <c r="AE69">
        <f t="shared" si="30"/>
        <v>0</v>
      </c>
      <c r="AF69">
        <f t="shared" si="31"/>
        <v>1</v>
      </c>
      <c r="AG69">
        <f t="shared" si="32"/>
        <v>1</v>
      </c>
      <c r="AH69">
        <f t="shared" si="33"/>
        <v>1</v>
      </c>
      <c r="AI69">
        <f t="shared" si="34"/>
        <v>1</v>
      </c>
      <c r="AJ69">
        <f t="shared" si="35"/>
        <v>0</v>
      </c>
    </row>
    <row r="70" spans="1:36" x14ac:dyDescent="0.25">
      <c r="A70" s="1">
        <v>45972.833333333336</v>
      </c>
      <c r="B70" s="2" t="s">
        <v>55</v>
      </c>
      <c r="C70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f t="shared" si="18"/>
        <v>9</v>
      </c>
      <c r="L70">
        <f t="shared" si="19"/>
        <v>1</v>
      </c>
      <c r="M70">
        <f t="shared" si="20"/>
        <v>1</v>
      </c>
      <c r="N70">
        <f t="shared" si="21"/>
        <v>1</v>
      </c>
      <c r="O70">
        <f t="shared" si="22"/>
        <v>1</v>
      </c>
      <c r="P70">
        <f t="shared" si="23"/>
        <v>0.1111</v>
      </c>
      <c r="Q70">
        <v>11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f t="shared" si="24"/>
        <v>11</v>
      </c>
      <c r="Z70">
        <f t="shared" si="25"/>
        <v>20</v>
      </c>
      <c r="AA70">
        <f t="shared" si="26"/>
        <v>1</v>
      </c>
      <c r="AB70">
        <f t="shared" si="27"/>
        <v>1</v>
      </c>
      <c r="AC70">
        <f t="shared" si="28"/>
        <v>1</v>
      </c>
      <c r="AD70">
        <f t="shared" si="29"/>
        <v>1</v>
      </c>
      <c r="AE70">
        <f t="shared" si="30"/>
        <v>0</v>
      </c>
      <c r="AF70">
        <f t="shared" si="31"/>
        <v>1</v>
      </c>
      <c r="AG70">
        <f t="shared" si="32"/>
        <v>1</v>
      </c>
      <c r="AH70">
        <f t="shared" si="33"/>
        <v>1</v>
      </c>
      <c r="AI70">
        <f t="shared" si="34"/>
        <v>1</v>
      </c>
      <c r="AJ70">
        <f t="shared" si="35"/>
        <v>0.05</v>
      </c>
    </row>
    <row r="71" spans="1:36" x14ac:dyDescent="0.25">
      <c r="A71" s="1">
        <v>45972.875</v>
      </c>
      <c r="B71" s="2" t="s">
        <v>56</v>
      </c>
      <c r="C71">
        <v>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f t="shared" si="18"/>
        <v>7</v>
      </c>
      <c r="L71">
        <f t="shared" si="19"/>
        <v>1</v>
      </c>
      <c r="M71">
        <f t="shared" si="20"/>
        <v>1</v>
      </c>
      <c r="N71">
        <f t="shared" si="21"/>
        <v>1</v>
      </c>
      <c r="O71">
        <f t="shared" si="22"/>
        <v>1</v>
      </c>
      <c r="P71">
        <f t="shared" si="23"/>
        <v>0</v>
      </c>
      <c r="Q71">
        <v>7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f t="shared" si="24"/>
        <v>8</v>
      </c>
      <c r="Z71">
        <f t="shared" si="25"/>
        <v>15</v>
      </c>
      <c r="AA71">
        <f t="shared" si="26"/>
        <v>0.875</v>
      </c>
      <c r="AB71">
        <f t="shared" si="27"/>
        <v>0.875</v>
      </c>
      <c r="AC71">
        <f t="shared" si="28"/>
        <v>0.875</v>
      </c>
      <c r="AD71">
        <f t="shared" si="29"/>
        <v>1</v>
      </c>
      <c r="AE71">
        <f t="shared" si="30"/>
        <v>0</v>
      </c>
      <c r="AF71">
        <f t="shared" si="31"/>
        <v>0.93330000000000002</v>
      </c>
      <c r="AG71">
        <f t="shared" si="32"/>
        <v>0.93330000000000002</v>
      </c>
      <c r="AH71">
        <f t="shared" si="33"/>
        <v>0.93330000000000002</v>
      </c>
      <c r="AI71">
        <f t="shared" si="34"/>
        <v>1</v>
      </c>
      <c r="AJ71">
        <f t="shared" si="35"/>
        <v>0</v>
      </c>
    </row>
    <row r="72" spans="1:36" x14ac:dyDescent="0.25">
      <c r="A72" s="1">
        <v>45972.916666666664</v>
      </c>
      <c r="B72" s="2" t="s">
        <v>57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f t="shared" si="18"/>
        <v>1</v>
      </c>
      <c r="L72">
        <f t="shared" si="19"/>
        <v>1</v>
      </c>
      <c r="M72">
        <f t="shared" si="20"/>
        <v>1</v>
      </c>
      <c r="N72">
        <f t="shared" si="21"/>
        <v>1</v>
      </c>
      <c r="O72">
        <f t="shared" si="22"/>
        <v>1</v>
      </c>
      <c r="P72">
        <f t="shared" si="23"/>
        <v>0</v>
      </c>
      <c r="Q72">
        <v>10</v>
      </c>
      <c r="R72">
        <v>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f t="shared" si="24"/>
        <v>12</v>
      </c>
      <c r="Z72">
        <f t="shared" si="25"/>
        <v>13</v>
      </c>
      <c r="AA72">
        <f t="shared" si="26"/>
        <v>0.83330000000000004</v>
      </c>
      <c r="AB72">
        <f t="shared" si="27"/>
        <v>1</v>
      </c>
      <c r="AC72">
        <f t="shared" si="28"/>
        <v>1</v>
      </c>
      <c r="AD72">
        <f t="shared" si="29"/>
        <v>1</v>
      </c>
      <c r="AE72">
        <f t="shared" si="30"/>
        <v>0</v>
      </c>
      <c r="AF72">
        <f t="shared" si="31"/>
        <v>0.84619999999999995</v>
      </c>
      <c r="AG72">
        <f t="shared" si="32"/>
        <v>1</v>
      </c>
      <c r="AH72">
        <f t="shared" si="33"/>
        <v>1</v>
      </c>
      <c r="AI72">
        <f t="shared" si="34"/>
        <v>1</v>
      </c>
      <c r="AJ72">
        <f t="shared" si="35"/>
        <v>0</v>
      </c>
    </row>
    <row r="73" spans="1:36" x14ac:dyDescent="0.25">
      <c r="A73" s="1">
        <v>45972.958333333336</v>
      </c>
      <c r="B73" s="2" t="s">
        <v>58</v>
      </c>
      <c r="C73">
        <v>10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f t="shared" si="18"/>
        <v>12</v>
      </c>
      <c r="L73">
        <f t="shared" si="19"/>
        <v>0.90910000000000002</v>
      </c>
      <c r="M73">
        <f t="shared" si="20"/>
        <v>1</v>
      </c>
      <c r="N73">
        <f t="shared" si="21"/>
        <v>1</v>
      </c>
      <c r="O73">
        <f t="shared" si="22"/>
        <v>1</v>
      </c>
      <c r="P73">
        <f t="shared" si="23"/>
        <v>8.3299999999999999E-2</v>
      </c>
      <c r="Q73">
        <v>9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f t="shared" si="24"/>
        <v>10</v>
      </c>
      <c r="Z73">
        <f t="shared" si="25"/>
        <v>22</v>
      </c>
      <c r="AA73">
        <f t="shared" si="26"/>
        <v>0.9</v>
      </c>
      <c r="AB73">
        <f t="shared" si="27"/>
        <v>1</v>
      </c>
      <c r="AC73">
        <f t="shared" si="28"/>
        <v>1</v>
      </c>
      <c r="AD73">
        <f t="shared" si="29"/>
        <v>1</v>
      </c>
      <c r="AE73">
        <f t="shared" si="30"/>
        <v>0</v>
      </c>
      <c r="AF73">
        <f t="shared" si="31"/>
        <v>0.90480000000000005</v>
      </c>
      <c r="AG73">
        <f t="shared" si="32"/>
        <v>1</v>
      </c>
      <c r="AH73">
        <f t="shared" si="33"/>
        <v>1</v>
      </c>
      <c r="AI73">
        <f t="shared" si="34"/>
        <v>1</v>
      </c>
      <c r="AJ73">
        <f t="shared" si="35"/>
        <v>4.5499999999999999E-2</v>
      </c>
    </row>
    <row r="74" spans="1:36" x14ac:dyDescent="0.25">
      <c r="A74" s="1">
        <v>45973</v>
      </c>
      <c r="B74" s="2" t="s">
        <v>35</v>
      </c>
      <c r="C74">
        <v>5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f t="shared" si="18"/>
        <v>6</v>
      </c>
      <c r="L74">
        <f t="shared" si="19"/>
        <v>0.83330000000000004</v>
      </c>
      <c r="M74">
        <f t="shared" si="20"/>
        <v>0.83330000000000004</v>
      </c>
      <c r="N74">
        <f t="shared" si="21"/>
        <v>1</v>
      </c>
      <c r="O74">
        <f t="shared" si="22"/>
        <v>1</v>
      </c>
      <c r="P74">
        <f t="shared" si="23"/>
        <v>0</v>
      </c>
      <c r="Q74">
        <v>2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f t="shared" si="24"/>
        <v>3</v>
      </c>
      <c r="Z74">
        <f t="shared" si="25"/>
        <v>9</v>
      </c>
      <c r="AA74">
        <f t="shared" si="26"/>
        <v>0.66669999999999996</v>
      </c>
      <c r="AB74">
        <f t="shared" si="27"/>
        <v>1</v>
      </c>
      <c r="AC74">
        <f t="shared" si="28"/>
        <v>1</v>
      </c>
      <c r="AD74">
        <f t="shared" si="29"/>
        <v>1</v>
      </c>
      <c r="AE74">
        <f t="shared" si="30"/>
        <v>0</v>
      </c>
      <c r="AF74">
        <f t="shared" si="31"/>
        <v>0.77780000000000005</v>
      </c>
      <c r="AG74">
        <f t="shared" si="32"/>
        <v>0.88890000000000002</v>
      </c>
      <c r="AH74">
        <f t="shared" si="33"/>
        <v>1</v>
      </c>
      <c r="AI74">
        <f t="shared" si="34"/>
        <v>1</v>
      </c>
      <c r="AJ74">
        <f t="shared" si="35"/>
        <v>0</v>
      </c>
    </row>
    <row r="75" spans="1:36" x14ac:dyDescent="0.25">
      <c r="A75" s="1">
        <v>45973.041666666664</v>
      </c>
      <c r="B75" s="2" t="s">
        <v>36</v>
      </c>
      <c r="C75">
        <v>11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f t="shared" si="18"/>
        <v>12</v>
      </c>
      <c r="L75">
        <f t="shared" si="19"/>
        <v>1</v>
      </c>
      <c r="M75">
        <f t="shared" si="20"/>
        <v>1</v>
      </c>
      <c r="N75">
        <f t="shared" si="21"/>
        <v>1</v>
      </c>
      <c r="O75">
        <f t="shared" si="22"/>
        <v>1</v>
      </c>
      <c r="P75">
        <f t="shared" si="23"/>
        <v>8.3299999999999999E-2</v>
      </c>
      <c r="Q75">
        <v>4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f t="shared" si="24"/>
        <v>5</v>
      </c>
      <c r="Z75">
        <f t="shared" si="25"/>
        <v>17</v>
      </c>
      <c r="AA75">
        <f t="shared" si="26"/>
        <v>0.8</v>
      </c>
      <c r="AB75">
        <f t="shared" si="27"/>
        <v>1</v>
      </c>
      <c r="AC75">
        <f t="shared" si="28"/>
        <v>1</v>
      </c>
      <c r="AD75">
        <f t="shared" si="29"/>
        <v>1</v>
      </c>
      <c r="AE75">
        <f t="shared" si="30"/>
        <v>0</v>
      </c>
      <c r="AF75">
        <f t="shared" si="31"/>
        <v>0.9375</v>
      </c>
      <c r="AG75">
        <f t="shared" si="32"/>
        <v>1</v>
      </c>
      <c r="AH75">
        <f t="shared" si="33"/>
        <v>1</v>
      </c>
      <c r="AI75">
        <f t="shared" si="34"/>
        <v>1</v>
      </c>
      <c r="AJ75">
        <f t="shared" si="35"/>
        <v>5.8799999999999998E-2</v>
      </c>
    </row>
    <row r="76" spans="1:36" x14ac:dyDescent="0.25">
      <c r="A76" s="1">
        <v>45973.083333333336</v>
      </c>
      <c r="B76" s="2" t="s">
        <v>37</v>
      </c>
      <c r="C76">
        <v>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f t="shared" si="18"/>
        <v>8</v>
      </c>
      <c r="L76">
        <f t="shared" si="19"/>
        <v>1</v>
      </c>
      <c r="M76">
        <f t="shared" si="20"/>
        <v>1</v>
      </c>
      <c r="N76">
        <f t="shared" si="21"/>
        <v>1</v>
      </c>
      <c r="O76">
        <f t="shared" si="22"/>
        <v>1</v>
      </c>
      <c r="P76">
        <f t="shared" si="23"/>
        <v>0.125</v>
      </c>
      <c r="Q76">
        <v>6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f t="shared" si="24"/>
        <v>6</v>
      </c>
      <c r="Z76">
        <f t="shared" si="25"/>
        <v>14</v>
      </c>
      <c r="AA76">
        <f t="shared" si="26"/>
        <v>1</v>
      </c>
      <c r="AB76">
        <f t="shared" si="27"/>
        <v>1</v>
      </c>
      <c r="AC76">
        <f t="shared" si="28"/>
        <v>1</v>
      </c>
      <c r="AD76">
        <f t="shared" si="29"/>
        <v>1</v>
      </c>
      <c r="AE76">
        <f t="shared" si="30"/>
        <v>0</v>
      </c>
      <c r="AF76">
        <f t="shared" si="31"/>
        <v>1</v>
      </c>
      <c r="AG76">
        <f t="shared" si="32"/>
        <v>1</v>
      </c>
      <c r="AH76">
        <f t="shared" si="33"/>
        <v>1</v>
      </c>
      <c r="AI76">
        <f t="shared" si="34"/>
        <v>1</v>
      </c>
      <c r="AJ76">
        <f t="shared" si="35"/>
        <v>7.1400000000000005E-2</v>
      </c>
    </row>
    <row r="77" spans="1:36" x14ac:dyDescent="0.25">
      <c r="A77" s="1">
        <v>45973.125</v>
      </c>
      <c r="B77" s="2" t="s">
        <v>38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2</v>
      </c>
      <c r="K77">
        <f t="shared" si="18"/>
        <v>3</v>
      </c>
      <c r="L77">
        <f t="shared" si="19"/>
        <v>1</v>
      </c>
      <c r="M77">
        <f t="shared" si="20"/>
        <v>1</v>
      </c>
      <c r="N77">
        <f t="shared" si="21"/>
        <v>1</v>
      </c>
      <c r="O77">
        <f t="shared" si="22"/>
        <v>1</v>
      </c>
      <c r="P77">
        <f t="shared" si="23"/>
        <v>0.66669999999999996</v>
      </c>
      <c r="Q77">
        <v>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f t="shared" si="24"/>
        <v>8</v>
      </c>
      <c r="Z77">
        <f t="shared" si="25"/>
        <v>11</v>
      </c>
      <c r="AA77">
        <f t="shared" si="26"/>
        <v>1</v>
      </c>
      <c r="AB77">
        <f t="shared" si="27"/>
        <v>1</v>
      </c>
      <c r="AC77">
        <f t="shared" si="28"/>
        <v>1</v>
      </c>
      <c r="AD77">
        <f t="shared" si="29"/>
        <v>1</v>
      </c>
      <c r="AE77">
        <f t="shared" si="30"/>
        <v>0</v>
      </c>
      <c r="AF77">
        <f t="shared" si="31"/>
        <v>1</v>
      </c>
      <c r="AG77">
        <f t="shared" si="32"/>
        <v>1</v>
      </c>
      <c r="AH77">
        <f t="shared" si="33"/>
        <v>1</v>
      </c>
      <c r="AI77">
        <f t="shared" si="34"/>
        <v>1</v>
      </c>
      <c r="AJ77">
        <f t="shared" si="35"/>
        <v>0.18179999999999999</v>
      </c>
    </row>
    <row r="78" spans="1:36" x14ac:dyDescent="0.25">
      <c r="A78" s="1">
        <v>45973.166666666664</v>
      </c>
      <c r="B78" s="2" t="s">
        <v>39</v>
      </c>
      <c r="C78">
        <v>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f t="shared" si="18"/>
        <v>7</v>
      </c>
      <c r="L78">
        <f t="shared" si="19"/>
        <v>1</v>
      </c>
      <c r="M78">
        <f t="shared" si="20"/>
        <v>1</v>
      </c>
      <c r="N78">
        <f t="shared" si="21"/>
        <v>1</v>
      </c>
      <c r="O78">
        <f t="shared" si="22"/>
        <v>1</v>
      </c>
      <c r="P78">
        <f t="shared" si="23"/>
        <v>0</v>
      </c>
      <c r="Q78">
        <v>12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f t="shared" si="24"/>
        <v>12</v>
      </c>
      <c r="Z78">
        <f t="shared" si="25"/>
        <v>19</v>
      </c>
      <c r="AA78">
        <f t="shared" si="26"/>
        <v>1</v>
      </c>
      <c r="AB78">
        <f t="shared" si="27"/>
        <v>1</v>
      </c>
      <c r="AC78">
        <f t="shared" si="28"/>
        <v>1</v>
      </c>
      <c r="AD78">
        <f t="shared" si="29"/>
        <v>1</v>
      </c>
      <c r="AE78">
        <f t="shared" si="30"/>
        <v>0</v>
      </c>
      <c r="AF78">
        <f t="shared" si="31"/>
        <v>1</v>
      </c>
      <c r="AG78">
        <f t="shared" si="32"/>
        <v>1</v>
      </c>
      <c r="AH78">
        <f t="shared" si="33"/>
        <v>1</v>
      </c>
      <c r="AI78">
        <f t="shared" si="34"/>
        <v>1</v>
      </c>
      <c r="AJ78">
        <f t="shared" si="35"/>
        <v>0</v>
      </c>
    </row>
    <row r="79" spans="1:36" x14ac:dyDescent="0.25">
      <c r="A79" s="1">
        <v>45973.208333333336</v>
      </c>
      <c r="B79" s="2" t="s">
        <v>40</v>
      </c>
      <c r="C79">
        <v>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f t="shared" si="18"/>
        <v>3</v>
      </c>
      <c r="L79">
        <f t="shared" si="19"/>
        <v>1</v>
      </c>
      <c r="M79">
        <f t="shared" si="20"/>
        <v>1</v>
      </c>
      <c r="N79">
        <f t="shared" si="21"/>
        <v>1</v>
      </c>
      <c r="O79">
        <f t="shared" si="22"/>
        <v>1</v>
      </c>
      <c r="P79">
        <f t="shared" si="23"/>
        <v>0.33329999999999999</v>
      </c>
      <c r="Q79">
        <v>5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f t="shared" si="24"/>
        <v>5</v>
      </c>
      <c r="Z79">
        <f t="shared" si="25"/>
        <v>8</v>
      </c>
      <c r="AA79">
        <f t="shared" si="26"/>
        <v>1</v>
      </c>
      <c r="AB79">
        <f t="shared" si="27"/>
        <v>1</v>
      </c>
      <c r="AC79">
        <f t="shared" si="28"/>
        <v>1</v>
      </c>
      <c r="AD79">
        <f t="shared" si="29"/>
        <v>1</v>
      </c>
      <c r="AE79">
        <f t="shared" si="30"/>
        <v>0</v>
      </c>
      <c r="AF79">
        <f t="shared" si="31"/>
        <v>1</v>
      </c>
      <c r="AG79">
        <f t="shared" si="32"/>
        <v>1</v>
      </c>
      <c r="AH79">
        <f t="shared" si="33"/>
        <v>1</v>
      </c>
      <c r="AI79">
        <f t="shared" si="34"/>
        <v>1</v>
      </c>
      <c r="AJ79">
        <f t="shared" si="35"/>
        <v>0.125</v>
      </c>
    </row>
    <row r="80" spans="1:36" x14ac:dyDescent="0.25">
      <c r="A80" s="1">
        <v>45973.25</v>
      </c>
      <c r="B80" s="2" t="s">
        <v>41</v>
      </c>
      <c r="C80">
        <v>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f t="shared" si="18"/>
        <v>5</v>
      </c>
      <c r="L80">
        <f t="shared" si="19"/>
        <v>1</v>
      </c>
      <c r="M80">
        <f t="shared" si="20"/>
        <v>1</v>
      </c>
      <c r="N80">
        <f t="shared" si="21"/>
        <v>1</v>
      </c>
      <c r="O80">
        <f t="shared" si="22"/>
        <v>1</v>
      </c>
      <c r="P80">
        <f t="shared" si="23"/>
        <v>0.2</v>
      </c>
      <c r="Q80">
        <v>16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1</v>
      </c>
      <c r="Y80">
        <f t="shared" si="24"/>
        <v>18</v>
      </c>
      <c r="Z80">
        <f t="shared" si="25"/>
        <v>23</v>
      </c>
      <c r="AA80">
        <f t="shared" si="26"/>
        <v>0.94120000000000004</v>
      </c>
      <c r="AB80">
        <f t="shared" si="27"/>
        <v>0.94120000000000004</v>
      </c>
      <c r="AC80">
        <f t="shared" si="28"/>
        <v>1</v>
      </c>
      <c r="AD80">
        <f t="shared" si="29"/>
        <v>1</v>
      </c>
      <c r="AE80">
        <f t="shared" si="30"/>
        <v>5.5599999999999997E-2</v>
      </c>
      <c r="AF80">
        <f t="shared" si="31"/>
        <v>0.95240000000000002</v>
      </c>
      <c r="AG80">
        <f t="shared" si="32"/>
        <v>0.95240000000000002</v>
      </c>
      <c r="AH80">
        <f t="shared" si="33"/>
        <v>1</v>
      </c>
      <c r="AI80">
        <f t="shared" si="34"/>
        <v>1</v>
      </c>
      <c r="AJ80">
        <f t="shared" si="35"/>
        <v>8.6999999999999994E-2</v>
      </c>
    </row>
    <row r="81" spans="1:36" x14ac:dyDescent="0.25">
      <c r="A81" s="1">
        <v>45973.291666666664</v>
      </c>
      <c r="B81" s="2" t="s">
        <v>42</v>
      </c>
      <c r="C81">
        <v>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f t="shared" si="18"/>
        <v>6</v>
      </c>
      <c r="L81">
        <f t="shared" si="19"/>
        <v>1</v>
      </c>
      <c r="M81">
        <f t="shared" si="20"/>
        <v>1</v>
      </c>
      <c r="N81">
        <f t="shared" si="21"/>
        <v>1</v>
      </c>
      <c r="O81">
        <f t="shared" si="22"/>
        <v>1</v>
      </c>
      <c r="P81">
        <f t="shared" si="23"/>
        <v>0</v>
      </c>
      <c r="Q81">
        <v>19</v>
      </c>
      <c r="R81">
        <v>5</v>
      </c>
      <c r="S81">
        <v>1</v>
      </c>
      <c r="T81">
        <v>0</v>
      </c>
      <c r="U81">
        <v>0</v>
      </c>
      <c r="V81">
        <v>0</v>
      </c>
      <c r="W81">
        <v>0</v>
      </c>
      <c r="X81">
        <v>1</v>
      </c>
      <c r="Y81">
        <f t="shared" si="24"/>
        <v>26</v>
      </c>
      <c r="Z81">
        <f t="shared" si="25"/>
        <v>32</v>
      </c>
      <c r="AA81">
        <f t="shared" si="26"/>
        <v>0.76</v>
      </c>
      <c r="AB81">
        <f t="shared" si="27"/>
        <v>0.96</v>
      </c>
      <c r="AC81">
        <f t="shared" si="28"/>
        <v>1</v>
      </c>
      <c r="AD81">
        <f t="shared" si="29"/>
        <v>1</v>
      </c>
      <c r="AE81">
        <f t="shared" si="30"/>
        <v>3.85E-2</v>
      </c>
      <c r="AF81">
        <f t="shared" si="31"/>
        <v>0.80649999999999999</v>
      </c>
      <c r="AG81">
        <f t="shared" si="32"/>
        <v>0.9677</v>
      </c>
      <c r="AH81">
        <f t="shared" si="33"/>
        <v>1</v>
      </c>
      <c r="AI81">
        <f t="shared" si="34"/>
        <v>1</v>
      </c>
      <c r="AJ81">
        <f t="shared" si="35"/>
        <v>3.1300000000000001E-2</v>
      </c>
    </row>
    <row r="82" spans="1:36" x14ac:dyDescent="0.25">
      <c r="A82" s="1">
        <v>45973.333333333336</v>
      </c>
      <c r="B82" s="2" t="s">
        <v>43</v>
      </c>
      <c r="C82">
        <v>13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3</v>
      </c>
      <c r="K82">
        <f t="shared" si="18"/>
        <v>16</v>
      </c>
      <c r="L82">
        <f t="shared" si="19"/>
        <v>1</v>
      </c>
      <c r="M82">
        <f t="shared" si="20"/>
        <v>1</v>
      </c>
      <c r="N82">
        <f t="shared" si="21"/>
        <v>1</v>
      </c>
      <c r="O82">
        <f t="shared" si="22"/>
        <v>1</v>
      </c>
      <c r="P82">
        <f t="shared" si="23"/>
        <v>0.1875</v>
      </c>
      <c r="Q82">
        <v>23</v>
      </c>
      <c r="R82">
        <v>6</v>
      </c>
      <c r="S82">
        <v>2</v>
      </c>
      <c r="T82">
        <v>1</v>
      </c>
      <c r="U82">
        <v>0</v>
      </c>
      <c r="V82">
        <v>0</v>
      </c>
      <c r="W82">
        <v>0</v>
      </c>
      <c r="X82">
        <v>0</v>
      </c>
      <c r="Y82">
        <f t="shared" si="24"/>
        <v>32</v>
      </c>
      <c r="Z82">
        <f t="shared" si="25"/>
        <v>48</v>
      </c>
      <c r="AA82">
        <f t="shared" si="26"/>
        <v>0.71879999999999999</v>
      </c>
      <c r="AB82">
        <f t="shared" si="27"/>
        <v>0.90629999999999999</v>
      </c>
      <c r="AC82">
        <f t="shared" si="28"/>
        <v>0.96879999999999999</v>
      </c>
      <c r="AD82">
        <f t="shared" si="29"/>
        <v>1</v>
      </c>
      <c r="AE82">
        <f t="shared" si="30"/>
        <v>0</v>
      </c>
      <c r="AF82">
        <f t="shared" si="31"/>
        <v>0.8</v>
      </c>
      <c r="AG82">
        <f t="shared" si="32"/>
        <v>0.93330000000000002</v>
      </c>
      <c r="AH82">
        <f t="shared" si="33"/>
        <v>0.9778</v>
      </c>
      <c r="AI82">
        <f t="shared" si="34"/>
        <v>1</v>
      </c>
      <c r="AJ82">
        <f t="shared" si="35"/>
        <v>6.25E-2</v>
      </c>
    </row>
    <row r="83" spans="1:36" x14ac:dyDescent="0.25">
      <c r="A83" s="1">
        <v>45973.375</v>
      </c>
      <c r="B83" s="2" t="s">
        <v>44</v>
      </c>
      <c r="C83">
        <v>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3</v>
      </c>
      <c r="K83">
        <f t="shared" si="18"/>
        <v>6</v>
      </c>
      <c r="L83">
        <f t="shared" si="19"/>
        <v>1</v>
      </c>
      <c r="M83">
        <f t="shared" si="20"/>
        <v>1</v>
      </c>
      <c r="N83">
        <f t="shared" si="21"/>
        <v>1</v>
      </c>
      <c r="O83">
        <f t="shared" si="22"/>
        <v>1</v>
      </c>
      <c r="P83">
        <f t="shared" si="23"/>
        <v>0.5</v>
      </c>
      <c r="Q83">
        <v>22</v>
      </c>
      <c r="R83">
        <v>11</v>
      </c>
      <c r="S83">
        <v>3</v>
      </c>
      <c r="T83">
        <v>1</v>
      </c>
      <c r="U83">
        <v>1</v>
      </c>
      <c r="V83">
        <v>0</v>
      </c>
      <c r="W83">
        <v>0</v>
      </c>
      <c r="X83">
        <v>2</v>
      </c>
      <c r="Y83">
        <f t="shared" si="24"/>
        <v>40</v>
      </c>
      <c r="Z83">
        <f t="shared" si="25"/>
        <v>46</v>
      </c>
      <c r="AA83">
        <f t="shared" si="26"/>
        <v>0.57889999999999997</v>
      </c>
      <c r="AB83">
        <f t="shared" si="27"/>
        <v>0.86839999999999995</v>
      </c>
      <c r="AC83">
        <f t="shared" si="28"/>
        <v>0.94740000000000002</v>
      </c>
      <c r="AD83">
        <f t="shared" si="29"/>
        <v>0.97370000000000001</v>
      </c>
      <c r="AE83">
        <f t="shared" si="30"/>
        <v>0.05</v>
      </c>
      <c r="AF83">
        <f t="shared" si="31"/>
        <v>0.60980000000000001</v>
      </c>
      <c r="AG83">
        <f t="shared" si="32"/>
        <v>0.878</v>
      </c>
      <c r="AH83">
        <f t="shared" si="33"/>
        <v>0.95120000000000005</v>
      </c>
      <c r="AI83">
        <f t="shared" si="34"/>
        <v>0.97560000000000002</v>
      </c>
      <c r="AJ83">
        <f t="shared" si="35"/>
        <v>0.1087</v>
      </c>
    </row>
    <row r="84" spans="1:36" x14ac:dyDescent="0.25">
      <c r="A84" s="1">
        <v>45973.416666666664</v>
      </c>
      <c r="B84" s="2" t="s">
        <v>45</v>
      </c>
      <c r="C84">
        <v>6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f t="shared" si="18"/>
        <v>7</v>
      </c>
      <c r="L84">
        <f t="shared" si="19"/>
        <v>0.85709999999999997</v>
      </c>
      <c r="M84">
        <f t="shared" si="20"/>
        <v>1</v>
      </c>
      <c r="N84">
        <f t="shared" si="21"/>
        <v>1</v>
      </c>
      <c r="O84">
        <f t="shared" si="22"/>
        <v>1</v>
      </c>
      <c r="P84">
        <f t="shared" si="23"/>
        <v>0</v>
      </c>
      <c r="Q84">
        <v>26</v>
      </c>
      <c r="R84">
        <v>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f t="shared" si="24"/>
        <v>34</v>
      </c>
      <c r="Z84">
        <f t="shared" si="25"/>
        <v>41</v>
      </c>
      <c r="AA84">
        <f t="shared" si="26"/>
        <v>0.76470000000000005</v>
      </c>
      <c r="AB84">
        <f t="shared" si="27"/>
        <v>1</v>
      </c>
      <c r="AC84">
        <f t="shared" si="28"/>
        <v>1</v>
      </c>
      <c r="AD84">
        <f t="shared" si="29"/>
        <v>1</v>
      </c>
      <c r="AE84">
        <f t="shared" si="30"/>
        <v>0</v>
      </c>
      <c r="AF84">
        <f t="shared" si="31"/>
        <v>0.78049999999999997</v>
      </c>
      <c r="AG84">
        <f t="shared" si="32"/>
        <v>1</v>
      </c>
      <c r="AH84">
        <f t="shared" si="33"/>
        <v>1</v>
      </c>
      <c r="AI84">
        <f t="shared" si="34"/>
        <v>1</v>
      </c>
      <c r="AJ84">
        <f t="shared" si="35"/>
        <v>0</v>
      </c>
    </row>
    <row r="85" spans="1:36" x14ac:dyDescent="0.25">
      <c r="A85" s="1">
        <v>45973.458333333336</v>
      </c>
      <c r="B85" s="2" t="s">
        <v>46</v>
      </c>
      <c r="C85">
        <v>6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1</v>
      </c>
      <c r="K85">
        <f t="shared" si="18"/>
        <v>8</v>
      </c>
      <c r="L85">
        <f t="shared" si="19"/>
        <v>0.85709999999999997</v>
      </c>
      <c r="M85">
        <f t="shared" si="20"/>
        <v>0.85709999999999997</v>
      </c>
      <c r="N85">
        <f t="shared" si="21"/>
        <v>0.85709999999999997</v>
      </c>
      <c r="O85">
        <f t="shared" si="22"/>
        <v>1</v>
      </c>
      <c r="P85">
        <f t="shared" si="23"/>
        <v>0.125</v>
      </c>
      <c r="Q85">
        <v>11</v>
      </c>
      <c r="R85">
        <v>6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f t="shared" si="24"/>
        <v>18</v>
      </c>
      <c r="Z85">
        <f t="shared" si="25"/>
        <v>26</v>
      </c>
      <c r="AA85">
        <f t="shared" si="26"/>
        <v>0.61109999999999998</v>
      </c>
      <c r="AB85">
        <f t="shared" si="27"/>
        <v>0.94440000000000002</v>
      </c>
      <c r="AC85">
        <f t="shared" si="28"/>
        <v>1</v>
      </c>
      <c r="AD85">
        <f t="shared" si="29"/>
        <v>1</v>
      </c>
      <c r="AE85">
        <f t="shared" si="30"/>
        <v>0</v>
      </c>
      <c r="AF85">
        <f t="shared" si="31"/>
        <v>0.68</v>
      </c>
      <c r="AG85">
        <f t="shared" si="32"/>
        <v>0.92</v>
      </c>
      <c r="AH85">
        <f t="shared" si="33"/>
        <v>0.96</v>
      </c>
      <c r="AI85">
        <f t="shared" si="34"/>
        <v>1</v>
      </c>
      <c r="AJ85">
        <f t="shared" si="35"/>
        <v>3.85E-2</v>
      </c>
    </row>
    <row r="86" spans="1:36" x14ac:dyDescent="0.25">
      <c r="A86" s="1">
        <v>45973.5</v>
      </c>
      <c r="B86" s="2" t="s">
        <v>47</v>
      </c>
      <c r="C86">
        <v>7</v>
      </c>
      <c r="D86">
        <v>3</v>
      </c>
      <c r="E86">
        <v>0</v>
      </c>
      <c r="F86">
        <v>1</v>
      </c>
      <c r="G86">
        <v>0</v>
      </c>
      <c r="H86">
        <v>0</v>
      </c>
      <c r="I86">
        <v>0</v>
      </c>
      <c r="J86">
        <v>2</v>
      </c>
      <c r="K86">
        <f t="shared" si="18"/>
        <v>13</v>
      </c>
      <c r="L86">
        <f t="shared" si="19"/>
        <v>0.63639999999999997</v>
      </c>
      <c r="M86">
        <f t="shared" si="20"/>
        <v>0.90910000000000002</v>
      </c>
      <c r="N86">
        <f t="shared" si="21"/>
        <v>0.90910000000000002</v>
      </c>
      <c r="O86">
        <f t="shared" si="22"/>
        <v>1</v>
      </c>
      <c r="P86">
        <f t="shared" si="23"/>
        <v>0.15379999999999999</v>
      </c>
      <c r="Q86">
        <v>12</v>
      </c>
      <c r="R86">
        <v>4</v>
      </c>
      <c r="S86">
        <v>1</v>
      </c>
      <c r="T86">
        <v>3</v>
      </c>
      <c r="U86">
        <v>0</v>
      </c>
      <c r="V86">
        <v>0</v>
      </c>
      <c r="W86">
        <v>0</v>
      </c>
      <c r="X86">
        <v>0</v>
      </c>
      <c r="Y86">
        <f t="shared" si="24"/>
        <v>20</v>
      </c>
      <c r="Z86">
        <f t="shared" si="25"/>
        <v>33</v>
      </c>
      <c r="AA86">
        <f t="shared" si="26"/>
        <v>0.6</v>
      </c>
      <c r="AB86">
        <f t="shared" si="27"/>
        <v>0.8</v>
      </c>
      <c r="AC86">
        <f t="shared" si="28"/>
        <v>0.85</v>
      </c>
      <c r="AD86">
        <f t="shared" si="29"/>
        <v>1</v>
      </c>
      <c r="AE86">
        <f t="shared" si="30"/>
        <v>0</v>
      </c>
      <c r="AF86">
        <f t="shared" si="31"/>
        <v>0.6129</v>
      </c>
      <c r="AG86">
        <f t="shared" si="32"/>
        <v>0.8387</v>
      </c>
      <c r="AH86">
        <f t="shared" si="33"/>
        <v>0.871</v>
      </c>
      <c r="AI86">
        <f t="shared" si="34"/>
        <v>1</v>
      </c>
      <c r="AJ86">
        <f t="shared" si="35"/>
        <v>6.0600000000000001E-2</v>
      </c>
    </row>
    <row r="87" spans="1:36" x14ac:dyDescent="0.25">
      <c r="A87" s="1">
        <v>45973.541666666664</v>
      </c>
      <c r="B87" s="2" t="s">
        <v>48</v>
      </c>
      <c r="C87">
        <v>5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f t="shared" si="18"/>
        <v>6</v>
      </c>
      <c r="L87">
        <f t="shared" si="19"/>
        <v>0.83330000000000004</v>
      </c>
      <c r="M87">
        <f t="shared" si="20"/>
        <v>1</v>
      </c>
      <c r="N87">
        <f t="shared" si="21"/>
        <v>1</v>
      </c>
      <c r="O87">
        <f t="shared" si="22"/>
        <v>1</v>
      </c>
      <c r="P87">
        <f t="shared" si="23"/>
        <v>0</v>
      </c>
      <c r="Q87">
        <v>16</v>
      </c>
      <c r="R87">
        <v>6</v>
      </c>
      <c r="S87">
        <v>3</v>
      </c>
      <c r="T87">
        <v>0</v>
      </c>
      <c r="U87">
        <v>0</v>
      </c>
      <c r="V87">
        <v>1</v>
      </c>
      <c r="W87">
        <v>0</v>
      </c>
      <c r="X87">
        <v>1</v>
      </c>
      <c r="Y87">
        <f t="shared" si="24"/>
        <v>27</v>
      </c>
      <c r="Z87">
        <f t="shared" si="25"/>
        <v>33</v>
      </c>
      <c r="AA87">
        <f t="shared" si="26"/>
        <v>0.61539999999999995</v>
      </c>
      <c r="AB87">
        <f t="shared" si="27"/>
        <v>0.84619999999999995</v>
      </c>
      <c r="AC87">
        <f t="shared" si="28"/>
        <v>0.96150000000000002</v>
      </c>
      <c r="AD87">
        <f t="shared" si="29"/>
        <v>0.96150000000000002</v>
      </c>
      <c r="AE87">
        <f t="shared" si="30"/>
        <v>3.6999999999999998E-2</v>
      </c>
      <c r="AF87">
        <f t="shared" si="31"/>
        <v>0.65629999999999999</v>
      </c>
      <c r="AG87">
        <f t="shared" si="32"/>
        <v>0.875</v>
      </c>
      <c r="AH87">
        <f t="shared" si="33"/>
        <v>0.96879999999999999</v>
      </c>
      <c r="AI87">
        <f t="shared" si="34"/>
        <v>0.96879999999999999</v>
      </c>
      <c r="AJ87">
        <f t="shared" si="35"/>
        <v>3.0300000000000001E-2</v>
      </c>
    </row>
    <row r="88" spans="1:36" x14ac:dyDescent="0.25">
      <c r="A88" s="1">
        <v>45973.583333333336</v>
      </c>
      <c r="B88" s="2" t="s">
        <v>49</v>
      </c>
      <c r="C88">
        <v>10</v>
      </c>
      <c r="D88">
        <v>2</v>
      </c>
      <c r="E88">
        <v>1</v>
      </c>
      <c r="F88">
        <v>1</v>
      </c>
      <c r="G88">
        <v>0</v>
      </c>
      <c r="H88">
        <v>2</v>
      </c>
      <c r="I88">
        <v>0</v>
      </c>
      <c r="J88">
        <v>2</v>
      </c>
      <c r="K88">
        <f t="shared" si="18"/>
        <v>18</v>
      </c>
      <c r="L88">
        <f t="shared" si="19"/>
        <v>0.625</v>
      </c>
      <c r="M88">
        <f t="shared" si="20"/>
        <v>0.75</v>
      </c>
      <c r="N88">
        <f t="shared" si="21"/>
        <v>0.8125</v>
      </c>
      <c r="O88">
        <f t="shared" si="22"/>
        <v>0.875</v>
      </c>
      <c r="P88">
        <f t="shared" si="23"/>
        <v>0.1111</v>
      </c>
      <c r="Q88">
        <v>18</v>
      </c>
      <c r="R88">
        <v>7</v>
      </c>
      <c r="S88">
        <v>2</v>
      </c>
      <c r="T88">
        <v>2</v>
      </c>
      <c r="U88">
        <v>1</v>
      </c>
      <c r="V88">
        <v>0</v>
      </c>
      <c r="W88">
        <v>0</v>
      </c>
      <c r="X88">
        <v>0</v>
      </c>
      <c r="Y88">
        <f t="shared" si="24"/>
        <v>30</v>
      </c>
      <c r="Z88">
        <f t="shared" si="25"/>
        <v>48</v>
      </c>
      <c r="AA88">
        <f t="shared" si="26"/>
        <v>0.6</v>
      </c>
      <c r="AB88">
        <f t="shared" si="27"/>
        <v>0.83330000000000004</v>
      </c>
      <c r="AC88">
        <f t="shared" si="28"/>
        <v>0.9</v>
      </c>
      <c r="AD88">
        <f t="shared" si="29"/>
        <v>0.9667</v>
      </c>
      <c r="AE88">
        <f t="shared" si="30"/>
        <v>0</v>
      </c>
      <c r="AF88">
        <f t="shared" si="31"/>
        <v>0.60870000000000002</v>
      </c>
      <c r="AG88">
        <f t="shared" si="32"/>
        <v>0.80430000000000001</v>
      </c>
      <c r="AH88">
        <f t="shared" si="33"/>
        <v>0.86960000000000004</v>
      </c>
      <c r="AI88">
        <f t="shared" si="34"/>
        <v>0.93479999999999996</v>
      </c>
      <c r="AJ88">
        <f t="shared" si="35"/>
        <v>4.1700000000000001E-2</v>
      </c>
    </row>
    <row r="89" spans="1:36" x14ac:dyDescent="0.25">
      <c r="A89" s="1">
        <v>45973.625</v>
      </c>
      <c r="B89" s="2" t="s">
        <v>50</v>
      </c>
      <c r="C89">
        <v>11</v>
      </c>
      <c r="D89">
        <v>2</v>
      </c>
      <c r="E89">
        <v>1</v>
      </c>
      <c r="F89">
        <v>1</v>
      </c>
      <c r="G89">
        <v>0</v>
      </c>
      <c r="H89">
        <v>0</v>
      </c>
      <c r="I89">
        <v>0</v>
      </c>
      <c r="J89">
        <v>5</v>
      </c>
      <c r="K89">
        <f t="shared" si="18"/>
        <v>20</v>
      </c>
      <c r="L89">
        <f t="shared" si="19"/>
        <v>0.73329999999999995</v>
      </c>
      <c r="M89">
        <f t="shared" si="20"/>
        <v>0.86670000000000003</v>
      </c>
      <c r="N89">
        <f t="shared" si="21"/>
        <v>0.93330000000000002</v>
      </c>
      <c r="O89">
        <f t="shared" si="22"/>
        <v>1</v>
      </c>
      <c r="P89">
        <f t="shared" si="23"/>
        <v>0.25</v>
      </c>
      <c r="Q89">
        <v>14</v>
      </c>
      <c r="R89">
        <v>12</v>
      </c>
      <c r="S89">
        <v>3</v>
      </c>
      <c r="T89">
        <v>5</v>
      </c>
      <c r="U89">
        <v>0</v>
      </c>
      <c r="V89">
        <v>0</v>
      </c>
      <c r="W89">
        <v>0</v>
      </c>
      <c r="X89">
        <v>2</v>
      </c>
      <c r="Y89">
        <f t="shared" si="24"/>
        <v>36</v>
      </c>
      <c r="Z89">
        <f t="shared" si="25"/>
        <v>56</v>
      </c>
      <c r="AA89">
        <f t="shared" si="26"/>
        <v>0.4118</v>
      </c>
      <c r="AB89">
        <f t="shared" si="27"/>
        <v>0.76470000000000005</v>
      </c>
      <c r="AC89">
        <f t="shared" si="28"/>
        <v>0.85289999999999999</v>
      </c>
      <c r="AD89">
        <f t="shared" si="29"/>
        <v>1</v>
      </c>
      <c r="AE89">
        <f t="shared" si="30"/>
        <v>5.5599999999999997E-2</v>
      </c>
      <c r="AF89">
        <f t="shared" si="31"/>
        <v>0.51019999999999999</v>
      </c>
      <c r="AG89">
        <f t="shared" si="32"/>
        <v>0.79590000000000005</v>
      </c>
      <c r="AH89">
        <f t="shared" si="33"/>
        <v>0.87760000000000005</v>
      </c>
      <c r="AI89">
        <f t="shared" si="34"/>
        <v>1</v>
      </c>
      <c r="AJ89">
        <f t="shared" si="35"/>
        <v>0.125</v>
      </c>
    </row>
    <row r="90" spans="1:36" x14ac:dyDescent="0.25">
      <c r="A90" s="1">
        <v>45973.666666666664</v>
      </c>
      <c r="B90" s="2" t="s">
        <v>51</v>
      </c>
      <c r="C90">
        <v>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f t="shared" si="18"/>
        <v>6</v>
      </c>
      <c r="L90">
        <f t="shared" si="19"/>
        <v>1</v>
      </c>
      <c r="M90">
        <f t="shared" si="20"/>
        <v>1</v>
      </c>
      <c r="N90">
        <f t="shared" si="21"/>
        <v>1</v>
      </c>
      <c r="O90">
        <f t="shared" si="22"/>
        <v>1</v>
      </c>
      <c r="P90">
        <f t="shared" si="23"/>
        <v>0.16669999999999999</v>
      </c>
      <c r="Q90">
        <v>27</v>
      </c>
      <c r="R90">
        <v>11</v>
      </c>
      <c r="S90">
        <v>3</v>
      </c>
      <c r="T90">
        <v>1</v>
      </c>
      <c r="U90">
        <v>0</v>
      </c>
      <c r="V90">
        <v>0</v>
      </c>
      <c r="W90">
        <v>0</v>
      </c>
      <c r="X90">
        <v>0</v>
      </c>
      <c r="Y90">
        <f t="shared" si="24"/>
        <v>42</v>
      </c>
      <c r="Z90">
        <f t="shared" si="25"/>
        <v>48</v>
      </c>
      <c r="AA90">
        <f t="shared" si="26"/>
        <v>0.64290000000000003</v>
      </c>
      <c r="AB90">
        <f t="shared" si="27"/>
        <v>0.90480000000000005</v>
      </c>
      <c r="AC90">
        <f t="shared" si="28"/>
        <v>0.97619999999999996</v>
      </c>
      <c r="AD90">
        <f t="shared" si="29"/>
        <v>1</v>
      </c>
      <c r="AE90">
        <f t="shared" si="30"/>
        <v>0</v>
      </c>
      <c r="AF90">
        <f t="shared" si="31"/>
        <v>0.68089999999999995</v>
      </c>
      <c r="AG90">
        <f t="shared" si="32"/>
        <v>0.91490000000000005</v>
      </c>
      <c r="AH90">
        <f t="shared" si="33"/>
        <v>0.97870000000000001</v>
      </c>
      <c r="AI90">
        <f t="shared" si="34"/>
        <v>1</v>
      </c>
      <c r="AJ90">
        <f t="shared" si="35"/>
        <v>2.0799999999999999E-2</v>
      </c>
    </row>
    <row r="91" spans="1:36" x14ac:dyDescent="0.25">
      <c r="A91" s="1">
        <v>45973.708333333336</v>
      </c>
      <c r="B91" s="2" t="s">
        <v>52</v>
      </c>
      <c r="C91">
        <v>8</v>
      </c>
      <c r="D91">
        <v>4</v>
      </c>
      <c r="E91">
        <v>1</v>
      </c>
      <c r="F91">
        <v>0</v>
      </c>
      <c r="G91">
        <v>0</v>
      </c>
      <c r="H91">
        <v>0</v>
      </c>
      <c r="I91">
        <v>0</v>
      </c>
      <c r="J91">
        <v>1</v>
      </c>
      <c r="K91">
        <f t="shared" si="18"/>
        <v>14</v>
      </c>
      <c r="L91">
        <f t="shared" si="19"/>
        <v>0.61539999999999995</v>
      </c>
      <c r="M91">
        <f t="shared" si="20"/>
        <v>0.92310000000000003</v>
      </c>
      <c r="N91">
        <f t="shared" si="21"/>
        <v>1</v>
      </c>
      <c r="O91">
        <f t="shared" si="22"/>
        <v>1</v>
      </c>
      <c r="P91">
        <f t="shared" si="23"/>
        <v>7.1400000000000005E-2</v>
      </c>
      <c r="Q91">
        <v>12</v>
      </c>
      <c r="R91">
        <v>4</v>
      </c>
      <c r="S91">
        <v>2</v>
      </c>
      <c r="T91">
        <v>0</v>
      </c>
      <c r="U91">
        <v>1</v>
      </c>
      <c r="V91">
        <v>0</v>
      </c>
      <c r="W91">
        <v>0</v>
      </c>
      <c r="X91">
        <v>0</v>
      </c>
      <c r="Y91">
        <f t="shared" si="24"/>
        <v>19</v>
      </c>
      <c r="Z91">
        <f t="shared" si="25"/>
        <v>33</v>
      </c>
      <c r="AA91">
        <f t="shared" si="26"/>
        <v>0.63160000000000005</v>
      </c>
      <c r="AB91">
        <f t="shared" si="27"/>
        <v>0.84209999999999996</v>
      </c>
      <c r="AC91">
        <f t="shared" si="28"/>
        <v>0.94740000000000002</v>
      </c>
      <c r="AD91">
        <f t="shared" si="29"/>
        <v>0.94740000000000002</v>
      </c>
      <c r="AE91">
        <f t="shared" si="30"/>
        <v>0</v>
      </c>
      <c r="AF91">
        <f t="shared" si="31"/>
        <v>0.625</v>
      </c>
      <c r="AG91">
        <f t="shared" si="32"/>
        <v>0.875</v>
      </c>
      <c r="AH91">
        <f t="shared" si="33"/>
        <v>0.96879999999999999</v>
      </c>
      <c r="AI91">
        <f t="shared" si="34"/>
        <v>0.96879999999999999</v>
      </c>
      <c r="AJ91">
        <f t="shared" si="35"/>
        <v>3.0300000000000001E-2</v>
      </c>
    </row>
    <row r="92" spans="1:36" x14ac:dyDescent="0.25">
      <c r="A92" s="1">
        <v>45973.75</v>
      </c>
      <c r="B92" s="2" t="s">
        <v>53</v>
      </c>
      <c r="C92">
        <v>7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f t="shared" si="18"/>
        <v>9</v>
      </c>
      <c r="L92">
        <f t="shared" si="19"/>
        <v>0.875</v>
      </c>
      <c r="M92">
        <f t="shared" si="20"/>
        <v>1</v>
      </c>
      <c r="N92">
        <f t="shared" si="21"/>
        <v>1</v>
      </c>
      <c r="O92">
        <f t="shared" si="22"/>
        <v>1</v>
      </c>
      <c r="P92">
        <f t="shared" si="23"/>
        <v>0.1111</v>
      </c>
      <c r="Q92">
        <v>14</v>
      </c>
      <c r="R92">
        <v>2</v>
      </c>
      <c r="S92">
        <v>1</v>
      </c>
      <c r="T92">
        <v>0</v>
      </c>
      <c r="U92">
        <v>0</v>
      </c>
      <c r="V92">
        <v>0</v>
      </c>
      <c r="W92">
        <v>0</v>
      </c>
      <c r="X92">
        <v>1</v>
      </c>
      <c r="Y92">
        <f t="shared" si="24"/>
        <v>18</v>
      </c>
      <c r="Z92">
        <f t="shared" si="25"/>
        <v>27</v>
      </c>
      <c r="AA92">
        <f t="shared" si="26"/>
        <v>0.82350000000000001</v>
      </c>
      <c r="AB92">
        <f t="shared" si="27"/>
        <v>0.94120000000000004</v>
      </c>
      <c r="AC92">
        <f t="shared" si="28"/>
        <v>1</v>
      </c>
      <c r="AD92">
        <f t="shared" si="29"/>
        <v>1</v>
      </c>
      <c r="AE92">
        <f t="shared" si="30"/>
        <v>5.5599999999999997E-2</v>
      </c>
      <c r="AF92">
        <f t="shared" si="31"/>
        <v>0.84</v>
      </c>
      <c r="AG92">
        <f t="shared" si="32"/>
        <v>0.96</v>
      </c>
      <c r="AH92">
        <f t="shared" si="33"/>
        <v>1</v>
      </c>
      <c r="AI92">
        <f t="shared" si="34"/>
        <v>1</v>
      </c>
      <c r="AJ92">
        <f t="shared" si="35"/>
        <v>7.4099999999999999E-2</v>
      </c>
    </row>
    <row r="93" spans="1:36" x14ac:dyDescent="0.25">
      <c r="A93" s="1">
        <v>45973.791666666664</v>
      </c>
      <c r="B93" s="2" t="s">
        <v>54</v>
      </c>
      <c r="C93">
        <v>10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f t="shared" si="18"/>
        <v>11</v>
      </c>
      <c r="L93">
        <f t="shared" si="19"/>
        <v>1</v>
      </c>
      <c r="M93">
        <f t="shared" si="20"/>
        <v>1</v>
      </c>
      <c r="N93">
        <f t="shared" si="21"/>
        <v>1</v>
      </c>
      <c r="O93">
        <f t="shared" si="22"/>
        <v>1</v>
      </c>
      <c r="P93">
        <f t="shared" si="23"/>
        <v>9.0899999999999995E-2</v>
      </c>
      <c r="Q93">
        <v>8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f t="shared" si="24"/>
        <v>8</v>
      </c>
      <c r="Z93">
        <f t="shared" si="25"/>
        <v>19</v>
      </c>
      <c r="AA93">
        <f t="shared" si="26"/>
        <v>1</v>
      </c>
      <c r="AB93">
        <f t="shared" si="27"/>
        <v>1</v>
      </c>
      <c r="AC93">
        <f t="shared" si="28"/>
        <v>1</v>
      </c>
      <c r="AD93">
        <f t="shared" si="29"/>
        <v>1</v>
      </c>
      <c r="AE93">
        <f t="shared" si="30"/>
        <v>0</v>
      </c>
      <c r="AF93">
        <f t="shared" si="31"/>
        <v>1</v>
      </c>
      <c r="AG93">
        <f t="shared" si="32"/>
        <v>1</v>
      </c>
      <c r="AH93">
        <f t="shared" si="33"/>
        <v>1</v>
      </c>
      <c r="AI93">
        <f t="shared" si="34"/>
        <v>1</v>
      </c>
      <c r="AJ93">
        <f t="shared" si="35"/>
        <v>5.2600000000000001E-2</v>
      </c>
    </row>
    <row r="94" spans="1:36" x14ac:dyDescent="0.25">
      <c r="A94" s="1">
        <v>45973.833333333336</v>
      </c>
      <c r="B94" s="2" t="s">
        <v>55</v>
      </c>
      <c r="C94">
        <v>10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f t="shared" si="18"/>
        <v>11</v>
      </c>
      <c r="L94">
        <f t="shared" si="19"/>
        <v>0.90910000000000002</v>
      </c>
      <c r="M94">
        <f t="shared" si="20"/>
        <v>0.90910000000000002</v>
      </c>
      <c r="N94">
        <f t="shared" si="21"/>
        <v>0.90910000000000002</v>
      </c>
      <c r="O94">
        <f t="shared" si="22"/>
        <v>1</v>
      </c>
      <c r="P94">
        <f t="shared" si="23"/>
        <v>0</v>
      </c>
      <c r="Q94">
        <v>7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f t="shared" si="24"/>
        <v>8</v>
      </c>
      <c r="Z94">
        <f t="shared" si="25"/>
        <v>19</v>
      </c>
      <c r="AA94">
        <f t="shared" si="26"/>
        <v>0.875</v>
      </c>
      <c r="AB94">
        <f t="shared" si="27"/>
        <v>0.875</v>
      </c>
      <c r="AC94">
        <f t="shared" si="28"/>
        <v>0.875</v>
      </c>
      <c r="AD94">
        <f t="shared" si="29"/>
        <v>1</v>
      </c>
      <c r="AE94">
        <f t="shared" si="30"/>
        <v>0</v>
      </c>
      <c r="AF94">
        <f t="shared" si="31"/>
        <v>0.89470000000000005</v>
      </c>
      <c r="AG94">
        <f t="shared" si="32"/>
        <v>0.89470000000000005</v>
      </c>
      <c r="AH94">
        <f t="shared" si="33"/>
        <v>0.89470000000000005</v>
      </c>
      <c r="AI94">
        <f t="shared" si="34"/>
        <v>1</v>
      </c>
      <c r="AJ94">
        <f t="shared" si="35"/>
        <v>0</v>
      </c>
    </row>
    <row r="95" spans="1:36" x14ac:dyDescent="0.25">
      <c r="A95" s="1">
        <v>45973.875</v>
      </c>
      <c r="B95" s="2" t="s">
        <v>56</v>
      </c>
      <c r="C95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f t="shared" si="18"/>
        <v>9</v>
      </c>
      <c r="L95">
        <f t="shared" si="19"/>
        <v>1</v>
      </c>
      <c r="M95">
        <f t="shared" si="20"/>
        <v>1</v>
      </c>
      <c r="N95">
        <f t="shared" si="21"/>
        <v>1</v>
      </c>
      <c r="O95">
        <f t="shared" si="22"/>
        <v>1</v>
      </c>
      <c r="P95">
        <f t="shared" si="23"/>
        <v>0</v>
      </c>
      <c r="Q95">
        <v>17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f t="shared" si="24"/>
        <v>17</v>
      </c>
      <c r="Z95">
        <f t="shared" si="25"/>
        <v>26</v>
      </c>
      <c r="AA95">
        <f t="shared" si="26"/>
        <v>1</v>
      </c>
      <c r="AB95">
        <f t="shared" si="27"/>
        <v>1</v>
      </c>
      <c r="AC95">
        <f t="shared" si="28"/>
        <v>1</v>
      </c>
      <c r="AD95">
        <f t="shared" si="29"/>
        <v>1</v>
      </c>
      <c r="AE95">
        <f t="shared" si="30"/>
        <v>0</v>
      </c>
      <c r="AF95">
        <f t="shared" si="31"/>
        <v>1</v>
      </c>
      <c r="AG95">
        <f t="shared" si="32"/>
        <v>1</v>
      </c>
      <c r="AH95">
        <f t="shared" si="33"/>
        <v>1</v>
      </c>
      <c r="AI95">
        <f t="shared" si="34"/>
        <v>1</v>
      </c>
      <c r="AJ95">
        <f t="shared" si="35"/>
        <v>0</v>
      </c>
    </row>
    <row r="96" spans="1:36" x14ac:dyDescent="0.25">
      <c r="A96" s="1">
        <v>45973.916666666664</v>
      </c>
      <c r="B96" s="2" t="s">
        <v>57</v>
      </c>
      <c r="C96">
        <v>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f t="shared" si="18"/>
        <v>6</v>
      </c>
      <c r="L96">
        <f t="shared" si="19"/>
        <v>1</v>
      </c>
      <c r="M96">
        <f t="shared" si="20"/>
        <v>1</v>
      </c>
      <c r="N96">
        <f t="shared" si="21"/>
        <v>1</v>
      </c>
      <c r="O96">
        <f t="shared" si="22"/>
        <v>1</v>
      </c>
      <c r="P96">
        <f t="shared" si="23"/>
        <v>0</v>
      </c>
      <c r="Q96">
        <v>15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f t="shared" si="24"/>
        <v>15</v>
      </c>
      <c r="Z96">
        <f t="shared" si="25"/>
        <v>21</v>
      </c>
      <c r="AA96">
        <f t="shared" si="26"/>
        <v>1</v>
      </c>
      <c r="AB96">
        <f t="shared" si="27"/>
        <v>1</v>
      </c>
      <c r="AC96">
        <f t="shared" si="28"/>
        <v>1</v>
      </c>
      <c r="AD96">
        <f t="shared" si="29"/>
        <v>1</v>
      </c>
      <c r="AE96">
        <f t="shared" si="30"/>
        <v>0</v>
      </c>
      <c r="AF96">
        <f t="shared" si="31"/>
        <v>1</v>
      </c>
      <c r="AG96">
        <f t="shared" si="32"/>
        <v>1</v>
      </c>
      <c r="AH96">
        <f t="shared" si="33"/>
        <v>1</v>
      </c>
      <c r="AI96">
        <f t="shared" si="34"/>
        <v>1</v>
      </c>
      <c r="AJ96">
        <f t="shared" si="35"/>
        <v>0</v>
      </c>
    </row>
    <row r="97" spans="1:36" x14ac:dyDescent="0.25">
      <c r="A97" s="1">
        <v>45973.958333333336</v>
      </c>
      <c r="B97" s="2" t="s">
        <v>58</v>
      </c>
      <c r="C97">
        <v>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f t="shared" si="18"/>
        <v>2</v>
      </c>
      <c r="L97">
        <f t="shared" si="19"/>
        <v>1</v>
      </c>
      <c r="M97">
        <f t="shared" si="20"/>
        <v>1</v>
      </c>
      <c r="N97">
        <f t="shared" si="21"/>
        <v>1</v>
      </c>
      <c r="O97">
        <f t="shared" si="22"/>
        <v>1</v>
      </c>
      <c r="P97">
        <f t="shared" si="23"/>
        <v>0</v>
      </c>
      <c r="Q97">
        <v>5</v>
      </c>
      <c r="R97">
        <v>4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f t="shared" si="24"/>
        <v>9</v>
      </c>
      <c r="Z97">
        <f t="shared" si="25"/>
        <v>11</v>
      </c>
      <c r="AA97">
        <f t="shared" si="26"/>
        <v>0.55559999999999998</v>
      </c>
      <c r="AB97">
        <f t="shared" si="27"/>
        <v>1</v>
      </c>
      <c r="AC97">
        <f t="shared" si="28"/>
        <v>1</v>
      </c>
      <c r="AD97">
        <f t="shared" si="29"/>
        <v>1</v>
      </c>
      <c r="AE97">
        <f t="shared" si="30"/>
        <v>0</v>
      </c>
      <c r="AF97">
        <f t="shared" si="31"/>
        <v>0.63639999999999997</v>
      </c>
      <c r="AG97">
        <f t="shared" si="32"/>
        <v>1</v>
      </c>
      <c r="AH97">
        <f t="shared" si="33"/>
        <v>1</v>
      </c>
      <c r="AI97">
        <f t="shared" si="34"/>
        <v>1</v>
      </c>
      <c r="AJ97">
        <f t="shared" si="35"/>
        <v>0</v>
      </c>
    </row>
    <row r="98" spans="1:36" x14ac:dyDescent="0.25">
      <c r="A98" s="1">
        <v>45974</v>
      </c>
      <c r="B98" s="2" t="s">
        <v>35</v>
      </c>
      <c r="C98">
        <v>4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f t="shared" si="18"/>
        <v>5</v>
      </c>
      <c r="L98">
        <f t="shared" si="19"/>
        <v>0.8</v>
      </c>
      <c r="M98">
        <f t="shared" si="20"/>
        <v>1</v>
      </c>
      <c r="N98">
        <f t="shared" si="21"/>
        <v>1</v>
      </c>
      <c r="O98">
        <f t="shared" si="22"/>
        <v>1</v>
      </c>
      <c r="P98">
        <f t="shared" si="23"/>
        <v>0</v>
      </c>
      <c r="Q98">
        <v>11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f t="shared" si="24"/>
        <v>12</v>
      </c>
      <c r="Z98">
        <f t="shared" si="25"/>
        <v>17</v>
      </c>
      <c r="AA98">
        <f t="shared" si="26"/>
        <v>0.91669999999999996</v>
      </c>
      <c r="AB98">
        <f t="shared" si="27"/>
        <v>1</v>
      </c>
      <c r="AC98">
        <f t="shared" si="28"/>
        <v>1</v>
      </c>
      <c r="AD98">
        <f t="shared" si="29"/>
        <v>1</v>
      </c>
      <c r="AE98">
        <f t="shared" si="30"/>
        <v>0</v>
      </c>
      <c r="AF98">
        <f t="shared" si="31"/>
        <v>0.88239999999999996</v>
      </c>
      <c r="AG98">
        <f t="shared" si="32"/>
        <v>1</v>
      </c>
      <c r="AH98">
        <f t="shared" si="33"/>
        <v>1</v>
      </c>
      <c r="AI98">
        <f t="shared" si="34"/>
        <v>1</v>
      </c>
      <c r="AJ98">
        <f t="shared" si="35"/>
        <v>0</v>
      </c>
    </row>
    <row r="99" spans="1:36" x14ac:dyDescent="0.25">
      <c r="A99" s="1">
        <v>45974.041666666664</v>
      </c>
      <c r="B99" s="2" t="s">
        <v>36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f t="shared" si="18"/>
        <v>1</v>
      </c>
      <c r="L99">
        <f t="shared" si="19"/>
        <v>1</v>
      </c>
      <c r="M99">
        <f t="shared" si="20"/>
        <v>1</v>
      </c>
      <c r="N99">
        <f t="shared" si="21"/>
        <v>1</v>
      </c>
      <c r="O99">
        <f t="shared" si="22"/>
        <v>1</v>
      </c>
      <c r="P99">
        <f t="shared" si="23"/>
        <v>0</v>
      </c>
      <c r="Q99">
        <v>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f t="shared" si="24"/>
        <v>6</v>
      </c>
      <c r="Z99">
        <f t="shared" si="25"/>
        <v>7</v>
      </c>
      <c r="AA99">
        <f t="shared" si="26"/>
        <v>1</v>
      </c>
      <c r="AB99">
        <f t="shared" si="27"/>
        <v>1</v>
      </c>
      <c r="AC99">
        <f t="shared" si="28"/>
        <v>1</v>
      </c>
      <c r="AD99">
        <f t="shared" si="29"/>
        <v>1</v>
      </c>
      <c r="AE99">
        <f t="shared" si="30"/>
        <v>0</v>
      </c>
      <c r="AF99">
        <f t="shared" si="31"/>
        <v>1</v>
      </c>
      <c r="AG99">
        <f t="shared" si="32"/>
        <v>1</v>
      </c>
      <c r="AH99">
        <f t="shared" si="33"/>
        <v>1</v>
      </c>
      <c r="AI99">
        <f t="shared" si="34"/>
        <v>1</v>
      </c>
      <c r="AJ99">
        <f t="shared" si="35"/>
        <v>0</v>
      </c>
    </row>
    <row r="100" spans="1:36" x14ac:dyDescent="0.25">
      <c r="A100" s="1">
        <v>45974.083333333336</v>
      </c>
      <c r="B100" s="2" t="s">
        <v>37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f t="shared" si="18"/>
        <v>2</v>
      </c>
      <c r="L100">
        <f t="shared" si="19"/>
        <v>1</v>
      </c>
      <c r="M100">
        <f t="shared" si="20"/>
        <v>1</v>
      </c>
      <c r="N100">
        <f t="shared" si="21"/>
        <v>1</v>
      </c>
      <c r="O100">
        <f t="shared" si="22"/>
        <v>1</v>
      </c>
      <c r="P100">
        <f t="shared" si="23"/>
        <v>0</v>
      </c>
      <c r="Q100">
        <v>9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f t="shared" si="24"/>
        <v>9</v>
      </c>
      <c r="Z100">
        <f t="shared" si="25"/>
        <v>11</v>
      </c>
      <c r="AA100">
        <f t="shared" si="26"/>
        <v>1</v>
      </c>
      <c r="AB100">
        <f t="shared" si="27"/>
        <v>1</v>
      </c>
      <c r="AC100">
        <f t="shared" si="28"/>
        <v>1</v>
      </c>
      <c r="AD100">
        <f t="shared" si="29"/>
        <v>1</v>
      </c>
      <c r="AE100">
        <f t="shared" si="30"/>
        <v>0</v>
      </c>
      <c r="AF100">
        <f t="shared" si="31"/>
        <v>1</v>
      </c>
      <c r="AG100">
        <f t="shared" si="32"/>
        <v>1</v>
      </c>
      <c r="AH100">
        <f t="shared" si="33"/>
        <v>1</v>
      </c>
      <c r="AI100">
        <f t="shared" si="34"/>
        <v>1</v>
      </c>
      <c r="AJ100">
        <f t="shared" si="35"/>
        <v>0</v>
      </c>
    </row>
    <row r="101" spans="1:36" x14ac:dyDescent="0.25">
      <c r="A101" s="1">
        <v>45974.125</v>
      </c>
      <c r="B101" s="2" t="s">
        <v>38</v>
      </c>
      <c r="C101">
        <v>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</v>
      </c>
      <c r="K101">
        <f t="shared" si="18"/>
        <v>4</v>
      </c>
      <c r="L101">
        <f t="shared" si="19"/>
        <v>1</v>
      </c>
      <c r="M101">
        <f t="shared" si="20"/>
        <v>1</v>
      </c>
      <c r="N101">
        <f t="shared" si="21"/>
        <v>1</v>
      </c>
      <c r="O101">
        <f t="shared" si="22"/>
        <v>1</v>
      </c>
      <c r="P101">
        <f t="shared" si="23"/>
        <v>0.5</v>
      </c>
      <c r="Q101">
        <v>3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f t="shared" si="24"/>
        <v>4</v>
      </c>
      <c r="Z101">
        <f t="shared" si="25"/>
        <v>8</v>
      </c>
      <c r="AA101">
        <f t="shared" si="26"/>
        <v>0.75</v>
      </c>
      <c r="AB101">
        <f t="shared" si="27"/>
        <v>1</v>
      </c>
      <c r="AC101">
        <f t="shared" si="28"/>
        <v>1</v>
      </c>
      <c r="AD101">
        <f t="shared" si="29"/>
        <v>1</v>
      </c>
      <c r="AE101">
        <f t="shared" si="30"/>
        <v>0</v>
      </c>
      <c r="AF101">
        <f t="shared" si="31"/>
        <v>0.83330000000000004</v>
      </c>
      <c r="AG101">
        <f t="shared" si="32"/>
        <v>1</v>
      </c>
      <c r="AH101">
        <f t="shared" si="33"/>
        <v>1</v>
      </c>
      <c r="AI101">
        <f t="shared" si="34"/>
        <v>1</v>
      </c>
      <c r="AJ101">
        <f t="shared" si="35"/>
        <v>0.25</v>
      </c>
    </row>
    <row r="102" spans="1:36" x14ac:dyDescent="0.25">
      <c r="A102" s="1">
        <v>45974.166666666664</v>
      </c>
      <c r="B102" s="2" t="s">
        <v>39</v>
      </c>
      <c r="C102">
        <v>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f t="shared" si="18"/>
        <v>3</v>
      </c>
      <c r="L102">
        <f t="shared" si="19"/>
        <v>1</v>
      </c>
      <c r="M102">
        <f t="shared" si="20"/>
        <v>1</v>
      </c>
      <c r="N102">
        <f t="shared" si="21"/>
        <v>1</v>
      </c>
      <c r="O102">
        <f t="shared" si="22"/>
        <v>1</v>
      </c>
      <c r="P102">
        <f t="shared" si="23"/>
        <v>0</v>
      </c>
      <c r="Q102">
        <v>3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f t="shared" si="24"/>
        <v>4</v>
      </c>
      <c r="Z102">
        <f t="shared" si="25"/>
        <v>7</v>
      </c>
      <c r="AA102">
        <f t="shared" si="26"/>
        <v>0.75</v>
      </c>
      <c r="AB102">
        <f t="shared" si="27"/>
        <v>1</v>
      </c>
      <c r="AC102">
        <f t="shared" si="28"/>
        <v>1</v>
      </c>
      <c r="AD102">
        <f t="shared" si="29"/>
        <v>1</v>
      </c>
      <c r="AE102">
        <f t="shared" si="30"/>
        <v>0</v>
      </c>
      <c r="AF102">
        <f t="shared" si="31"/>
        <v>0.85709999999999997</v>
      </c>
      <c r="AG102">
        <f t="shared" si="32"/>
        <v>1</v>
      </c>
      <c r="AH102">
        <f t="shared" si="33"/>
        <v>1</v>
      </c>
      <c r="AI102">
        <f t="shared" si="34"/>
        <v>1</v>
      </c>
      <c r="AJ102">
        <f t="shared" si="35"/>
        <v>0</v>
      </c>
    </row>
    <row r="103" spans="1:36" x14ac:dyDescent="0.25">
      <c r="A103" s="1">
        <v>45974.208333333336</v>
      </c>
      <c r="B103" s="2" t="s">
        <v>40</v>
      </c>
      <c r="C103">
        <v>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f t="shared" si="18"/>
        <v>4</v>
      </c>
      <c r="L103">
        <f t="shared" si="19"/>
        <v>1</v>
      </c>
      <c r="M103">
        <f t="shared" si="20"/>
        <v>1</v>
      </c>
      <c r="N103">
        <f t="shared" si="21"/>
        <v>1</v>
      </c>
      <c r="O103">
        <f t="shared" si="22"/>
        <v>1</v>
      </c>
      <c r="P103">
        <f t="shared" si="23"/>
        <v>0</v>
      </c>
      <c r="Q103">
        <v>11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f t="shared" si="24"/>
        <v>11</v>
      </c>
      <c r="Z103">
        <f t="shared" si="25"/>
        <v>15</v>
      </c>
      <c r="AA103">
        <f t="shared" si="26"/>
        <v>1</v>
      </c>
      <c r="AB103">
        <f t="shared" si="27"/>
        <v>1</v>
      </c>
      <c r="AC103">
        <f t="shared" si="28"/>
        <v>1</v>
      </c>
      <c r="AD103">
        <f t="shared" si="29"/>
        <v>1</v>
      </c>
      <c r="AE103">
        <f t="shared" si="30"/>
        <v>0</v>
      </c>
      <c r="AF103">
        <f t="shared" si="31"/>
        <v>1</v>
      </c>
      <c r="AG103">
        <f t="shared" si="32"/>
        <v>1</v>
      </c>
      <c r="AH103">
        <f t="shared" si="33"/>
        <v>1</v>
      </c>
      <c r="AI103">
        <f t="shared" si="34"/>
        <v>1</v>
      </c>
      <c r="AJ103">
        <f t="shared" si="35"/>
        <v>0</v>
      </c>
    </row>
    <row r="104" spans="1:36" x14ac:dyDescent="0.25">
      <c r="A104" s="1">
        <v>45974.25</v>
      </c>
      <c r="B104" s="2" t="s">
        <v>41</v>
      </c>
      <c r="C104">
        <v>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f t="shared" si="18"/>
        <v>7</v>
      </c>
      <c r="L104">
        <f t="shared" si="19"/>
        <v>1</v>
      </c>
      <c r="M104">
        <f t="shared" si="20"/>
        <v>1</v>
      </c>
      <c r="N104">
        <f t="shared" si="21"/>
        <v>1</v>
      </c>
      <c r="O104">
        <f t="shared" si="22"/>
        <v>1</v>
      </c>
      <c r="P104">
        <f t="shared" si="23"/>
        <v>0</v>
      </c>
      <c r="Q104">
        <v>12</v>
      </c>
      <c r="R104">
        <v>5</v>
      </c>
      <c r="S104">
        <v>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f t="shared" si="24"/>
        <v>19</v>
      </c>
      <c r="Z104">
        <f t="shared" si="25"/>
        <v>26</v>
      </c>
      <c r="AA104">
        <f t="shared" si="26"/>
        <v>0.63160000000000005</v>
      </c>
      <c r="AB104">
        <f t="shared" si="27"/>
        <v>0.89470000000000005</v>
      </c>
      <c r="AC104">
        <f t="shared" si="28"/>
        <v>1</v>
      </c>
      <c r="AD104">
        <f t="shared" si="29"/>
        <v>1</v>
      </c>
      <c r="AE104">
        <f t="shared" si="30"/>
        <v>0</v>
      </c>
      <c r="AF104">
        <f t="shared" si="31"/>
        <v>0.73080000000000001</v>
      </c>
      <c r="AG104">
        <f t="shared" si="32"/>
        <v>0.92310000000000003</v>
      </c>
      <c r="AH104">
        <f t="shared" si="33"/>
        <v>1</v>
      </c>
      <c r="AI104">
        <f t="shared" si="34"/>
        <v>1</v>
      </c>
      <c r="AJ104">
        <f t="shared" si="35"/>
        <v>0</v>
      </c>
    </row>
    <row r="105" spans="1:36" x14ac:dyDescent="0.25">
      <c r="A105" s="1">
        <v>45974.291666666664</v>
      </c>
      <c r="B105" s="2" t="s">
        <v>42</v>
      </c>
      <c r="C105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f t="shared" si="18"/>
        <v>7</v>
      </c>
      <c r="L105">
        <f t="shared" si="19"/>
        <v>1</v>
      </c>
      <c r="M105">
        <f t="shared" si="20"/>
        <v>1</v>
      </c>
      <c r="N105">
        <f t="shared" si="21"/>
        <v>1</v>
      </c>
      <c r="O105">
        <f t="shared" si="22"/>
        <v>1</v>
      </c>
      <c r="P105">
        <f t="shared" si="23"/>
        <v>0</v>
      </c>
      <c r="Q105">
        <v>11</v>
      </c>
      <c r="R105">
        <v>6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f t="shared" si="24"/>
        <v>18</v>
      </c>
      <c r="Z105">
        <f t="shared" si="25"/>
        <v>25</v>
      </c>
      <c r="AA105">
        <f t="shared" si="26"/>
        <v>0.61109999999999998</v>
      </c>
      <c r="AB105">
        <f t="shared" si="27"/>
        <v>0.94440000000000002</v>
      </c>
      <c r="AC105">
        <f t="shared" si="28"/>
        <v>0.94440000000000002</v>
      </c>
      <c r="AD105">
        <f t="shared" si="29"/>
        <v>1</v>
      </c>
      <c r="AE105">
        <f t="shared" si="30"/>
        <v>0</v>
      </c>
      <c r="AF105">
        <f t="shared" si="31"/>
        <v>0.72</v>
      </c>
      <c r="AG105">
        <f t="shared" si="32"/>
        <v>0.96</v>
      </c>
      <c r="AH105">
        <f t="shared" si="33"/>
        <v>0.96</v>
      </c>
      <c r="AI105">
        <f t="shared" si="34"/>
        <v>1</v>
      </c>
      <c r="AJ105">
        <f t="shared" si="35"/>
        <v>0</v>
      </c>
    </row>
    <row r="106" spans="1:36" x14ac:dyDescent="0.25">
      <c r="A106" s="1">
        <v>45974.333333333336</v>
      </c>
      <c r="B106" s="2" t="s">
        <v>43</v>
      </c>
      <c r="C106">
        <v>3</v>
      </c>
      <c r="D106">
        <v>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f t="shared" si="18"/>
        <v>5</v>
      </c>
      <c r="L106">
        <f t="shared" si="19"/>
        <v>0.6</v>
      </c>
      <c r="M106">
        <f t="shared" si="20"/>
        <v>1</v>
      </c>
      <c r="N106">
        <f t="shared" si="21"/>
        <v>1</v>
      </c>
      <c r="O106">
        <f t="shared" si="22"/>
        <v>1</v>
      </c>
      <c r="P106">
        <f t="shared" si="23"/>
        <v>0</v>
      </c>
      <c r="Q106">
        <v>18</v>
      </c>
      <c r="R106">
        <v>6</v>
      </c>
      <c r="S106">
        <v>2</v>
      </c>
      <c r="T106">
        <v>0</v>
      </c>
      <c r="U106">
        <v>0</v>
      </c>
      <c r="V106">
        <v>0</v>
      </c>
      <c r="W106">
        <v>0</v>
      </c>
      <c r="X106">
        <v>2</v>
      </c>
      <c r="Y106">
        <f t="shared" si="24"/>
        <v>28</v>
      </c>
      <c r="Z106">
        <f t="shared" si="25"/>
        <v>33</v>
      </c>
      <c r="AA106">
        <f t="shared" si="26"/>
        <v>0.69230000000000003</v>
      </c>
      <c r="AB106">
        <f t="shared" si="27"/>
        <v>0.92310000000000003</v>
      </c>
      <c r="AC106">
        <f t="shared" si="28"/>
        <v>1</v>
      </c>
      <c r="AD106">
        <f t="shared" si="29"/>
        <v>1</v>
      </c>
      <c r="AE106">
        <f t="shared" si="30"/>
        <v>7.1400000000000005E-2</v>
      </c>
      <c r="AF106">
        <f t="shared" si="31"/>
        <v>0.6774</v>
      </c>
      <c r="AG106">
        <f t="shared" si="32"/>
        <v>0.9355</v>
      </c>
      <c r="AH106">
        <f t="shared" si="33"/>
        <v>1</v>
      </c>
      <c r="AI106">
        <f t="shared" si="34"/>
        <v>1</v>
      </c>
      <c r="AJ106">
        <f t="shared" si="35"/>
        <v>6.0600000000000001E-2</v>
      </c>
    </row>
    <row r="107" spans="1:36" x14ac:dyDescent="0.25">
      <c r="A107" s="1">
        <v>45974.375</v>
      </c>
      <c r="B107" s="2" t="s">
        <v>44</v>
      </c>
      <c r="C107">
        <v>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f t="shared" si="18"/>
        <v>7</v>
      </c>
      <c r="L107">
        <f t="shared" si="19"/>
        <v>1</v>
      </c>
      <c r="M107">
        <f t="shared" si="20"/>
        <v>1</v>
      </c>
      <c r="N107">
        <f t="shared" si="21"/>
        <v>1</v>
      </c>
      <c r="O107">
        <f t="shared" si="22"/>
        <v>1</v>
      </c>
      <c r="P107">
        <f t="shared" si="23"/>
        <v>0</v>
      </c>
      <c r="Q107">
        <v>23</v>
      </c>
      <c r="R107">
        <v>9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f t="shared" si="24"/>
        <v>33</v>
      </c>
      <c r="Z107">
        <f t="shared" si="25"/>
        <v>40</v>
      </c>
      <c r="AA107">
        <f t="shared" si="26"/>
        <v>0.69699999999999995</v>
      </c>
      <c r="AB107">
        <f t="shared" si="27"/>
        <v>0.96970000000000001</v>
      </c>
      <c r="AC107">
        <f t="shared" si="28"/>
        <v>0.96970000000000001</v>
      </c>
      <c r="AD107">
        <f t="shared" si="29"/>
        <v>0.96970000000000001</v>
      </c>
      <c r="AE107">
        <f t="shared" si="30"/>
        <v>0</v>
      </c>
      <c r="AF107">
        <f t="shared" si="31"/>
        <v>0.75</v>
      </c>
      <c r="AG107">
        <f t="shared" si="32"/>
        <v>0.97499999999999998</v>
      </c>
      <c r="AH107">
        <f t="shared" si="33"/>
        <v>0.97499999999999998</v>
      </c>
      <c r="AI107">
        <f t="shared" si="34"/>
        <v>0.97499999999999998</v>
      </c>
      <c r="AJ107">
        <f t="shared" si="35"/>
        <v>0</v>
      </c>
    </row>
    <row r="108" spans="1:36" x14ac:dyDescent="0.25">
      <c r="A108" s="1">
        <v>45974.416666666664</v>
      </c>
      <c r="B108" s="2" t="s">
        <v>45</v>
      </c>
      <c r="C108">
        <v>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f t="shared" si="18"/>
        <v>9</v>
      </c>
      <c r="L108">
        <f t="shared" si="19"/>
        <v>1</v>
      </c>
      <c r="M108">
        <f t="shared" si="20"/>
        <v>1</v>
      </c>
      <c r="N108">
        <f t="shared" si="21"/>
        <v>1</v>
      </c>
      <c r="O108">
        <f t="shared" si="22"/>
        <v>1</v>
      </c>
      <c r="P108">
        <f t="shared" si="23"/>
        <v>0.1111</v>
      </c>
      <c r="Q108">
        <v>20</v>
      </c>
      <c r="R108">
        <v>0</v>
      </c>
      <c r="S108">
        <v>1</v>
      </c>
      <c r="T108">
        <v>6</v>
      </c>
      <c r="U108">
        <v>0</v>
      </c>
      <c r="V108">
        <v>0</v>
      </c>
      <c r="W108">
        <v>0</v>
      </c>
      <c r="X108">
        <v>0</v>
      </c>
      <c r="Y108">
        <f t="shared" si="24"/>
        <v>27</v>
      </c>
      <c r="Z108">
        <f t="shared" si="25"/>
        <v>36</v>
      </c>
      <c r="AA108">
        <f t="shared" si="26"/>
        <v>0.74070000000000003</v>
      </c>
      <c r="AB108">
        <f t="shared" si="27"/>
        <v>0.74070000000000003</v>
      </c>
      <c r="AC108">
        <f t="shared" si="28"/>
        <v>0.77780000000000005</v>
      </c>
      <c r="AD108">
        <f t="shared" si="29"/>
        <v>1</v>
      </c>
      <c r="AE108">
        <f t="shared" si="30"/>
        <v>0</v>
      </c>
      <c r="AF108">
        <f t="shared" si="31"/>
        <v>0.8</v>
      </c>
      <c r="AG108">
        <f t="shared" si="32"/>
        <v>0.8</v>
      </c>
      <c r="AH108">
        <f t="shared" si="33"/>
        <v>0.8286</v>
      </c>
      <c r="AI108">
        <f t="shared" si="34"/>
        <v>1</v>
      </c>
      <c r="AJ108">
        <f t="shared" si="35"/>
        <v>2.7799999999999998E-2</v>
      </c>
    </row>
    <row r="109" spans="1:36" x14ac:dyDescent="0.25">
      <c r="A109" s="1">
        <v>45974.458333333336</v>
      </c>
      <c r="B109" s="2" t="s">
        <v>46</v>
      </c>
      <c r="C109">
        <v>6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f t="shared" si="18"/>
        <v>7</v>
      </c>
      <c r="L109">
        <f t="shared" si="19"/>
        <v>0.85709999999999997</v>
      </c>
      <c r="M109">
        <f t="shared" si="20"/>
        <v>1</v>
      </c>
      <c r="N109">
        <f t="shared" si="21"/>
        <v>1</v>
      </c>
      <c r="O109">
        <f t="shared" si="22"/>
        <v>1</v>
      </c>
      <c r="P109">
        <f t="shared" si="23"/>
        <v>0</v>
      </c>
      <c r="Q109">
        <v>18</v>
      </c>
      <c r="R109">
        <v>5</v>
      </c>
      <c r="S109">
        <v>2</v>
      </c>
      <c r="T109">
        <v>1</v>
      </c>
      <c r="U109">
        <v>0</v>
      </c>
      <c r="V109">
        <v>0</v>
      </c>
      <c r="W109">
        <v>0</v>
      </c>
      <c r="X109">
        <v>2</v>
      </c>
      <c r="Y109">
        <f t="shared" si="24"/>
        <v>28</v>
      </c>
      <c r="Z109">
        <f t="shared" si="25"/>
        <v>35</v>
      </c>
      <c r="AA109">
        <f t="shared" si="26"/>
        <v>0.69230000000000003</v>
      </c>
      <c r="AB109">
        <f t="shared" si="27"/>
        <v>0.88460000000000005</v>
      </c>
      <c r="AC109">
        <f t="shared" si="28"/>
        <v>0.96150000000000002</v>
      </c>
      <c r="AD109">
        <f t="shared" si="29"/>
        <v>1</v>
      </c>
      <c r="AE109">
        <f t="shared" si="30"/>
        <v>7.1400000000000005E-2</v>
      </c>
      <c r="AF109">
        <f t="shared" si="31"/>
        <v>0.72729999999999995</v>
      </c>
      <c r="AG109">
        <f t="shared" si="32"/>
        <v>0.90910000000000002</v>
      </c>
      <c r="AH109">
        <f t="shared" si="33"/>
        <v>0.96970000000000001</v>
      </c>
      <c r="AI109">
        <f t="shared" si="34"/>
        <v>1</v>
      </c>
      <c r="AJ109">
        <f t="shared" si="35"/>
        <v>5.7099999999999998E-2</v>
      </c>
    </row>
    <row r="110" spans="1:36" x14ac:dyDescent="0.25">
      <c r="A110" s="1">
        <v>45974.5</v>
      </c>
      <c r="B110" s="2" t="s">
        <v>47</v>
      </c>
      <c r="C110">
        <v>8</v>
      </c>
      <c r="D110">
        <v>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f t="shared" si="18"/>
        <v>10</v>
      </c>
      <c r="L110">
        <f t="shared" si="19"/>
        <v>0.8</v>
      </c>
      <c r="M110">
        <f t="shared" si="20"/>
        <v>1</v>
      </c>
      <c r="N110">
        <f t="shared" si="21"/>
        <v>1</v>
      </c>
      <c r="O110">
        <f t="shared" si="22"/>
        <v>1</v>
      </c>
      <c r="P110">
        <f t="shared" si="23"/>
        <v>0</v>
      </c>
      <c r="Q110">
        <v>28</v>
      </c>
      <c r="R110">
        <v>2</v>
      </c>
      <c r="S110">
        <v>4</v>
      </c>
      <c r="T110">
        <v>0</v>
      </c>
      <c r="U110">
        <v>0</v>
      </c>
      <c r="V110">
        <v>0</v>
      </c>
      <c r="W110">
        <v>0</v>
      </c>
      <c r="X110">
        <v>1</v>
      </c>
      <c r="Y110">
        <f t="shared" si="24"/>
        <v>35</v>
      </c>
      <c r="Z110">
        <f t="shared" si="25"/>
        <v>45</v>
      </c>
      <c r="AA110">
        <f t="shared" si="26"/>
        <v>0.82350000000000001</v>
      </c>
      <c r="AB110">
        <f t="shared" si="27"/>
        <v>0.88239999999999996</v>
      </c>
      <c r="AC110">
        <f t="shared" si="28"/>
        <v>1</v>
      </c>
      <c r="AD110">
        <f t="shared" si="29"/>
        <v>1</v>
      </c>
      <c r="AE110">
        <f t="shared" si="30"/>
        <v>2.86E-2</v>
      </c>
      <c r="AF110">
        <f t="shared" si="31"/>
        <v>0.81820000000000004</v>
      </c>
      <c r="AG110">
        <f t="shared" si="32"/>
        <v>0.90910000000000002</v>
      </c>
      <c r="AH110">
        <f t="shared" si="33"/>
        <v>1</v>
      </c>
      <c r="AI110">
        <f t="shared" si="34"/>
        <v>1</v>
      </c>
      <c r="AJ110">
        <f t="shared" si="35"/>
        <v>2.2200000000000001E-2</v>
      </c>
    </row>
    <row r="111" spans="1:36" x14ac:dyDescent="0.25">
      <c r="A111" s="1">
        <v>45974.541666666664</v>
      </c>
      <c r="B111" s="2" t="s">
        <v>48</v>
      </c>
      <c r="C111">
        <v>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f t="shared" si="18"/>
        <v>7</v>
      </c>
      <c r="L111">
        <f t="shared" si="19"/>
        <v>1</v>
      </c>
      <c r="M111">
        <f t="shared" si="20"/>
        <v>1</v>
      </c>
      <c r="N111">
        <f t="shared" si="21"/>
        <v>1</v>
      </c>
      <c r="O111">
        <f t="shared" si="22"/>
        <v>1</v>
      </c>
      <c r="P111">
        <f t="shared" si="23"/>
        <v>0.1429</v>
      </c>
      <c r="Q111">
        <v>23</v>
      </c>
      <c r="R111">
        <v>5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f t="shared" si="24"/>
        <v>29</v>
      </c>
      <c r="Z111">
        <f t="shared" si="25"/>
        <v>36</v>
      </c>
      <c r="AA111">
        <f t="shared" si="26"/>
        <v>0.79310000000000003</v>
      </c>
      <c r="AB111">
        <f t="shared" si="27"/>
        <v>0.96550000000000002</v>
      </c>
      <c r="AC111">
        <f t="shared" si="28"/>
        <v>0.96550000000000002</v>
      </c>
      <c r="AD111">
        <f t="shared" si="29"/>
        <v>1</v>
      </c>
      <c r="AE111">
        <f t="shared" si="30"/>
        <v>0</v>
      </c>
      <c r="AF111">
        <f t="shared" si="31"/>
        <v>0.8286</v>
      </c>
      <c r="AG111">
        <f t="shared" si="32"/>
        <v>0.97140000000000004</v>
      </c>
      <c r="AH111">
        <f t="shared" si="33"/>
        <v>0.97140000000000004</v>
      </c>
      <c r="AI111">
        <f t="shared" si="34"/>
        <v>1</v>
      </c>
      <c r="AJ111">
        <f t="shared" si="35"/>
        <v>2.7799999999999998E-2</v>
      </c>
    </row>
    <row r="112" spans="1:36" x14ac:dyDescent="0.25">
      <c r="A112" s="1">
        <v>45974.583333333336</v>
      </c>
      <c r="B112" s="2" t="s">
        <v>49</v>
      </c>
      <c r="C112">
        <v>11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f t="shared" si="18"/>
        <v>13</v>
      </c>
      <c r="L112">
        <f t="shared" si="19"/>
        <v>0.91669999999999996</v>
      </c>
      <c r="M112">
        <f t="shared" si="20"/>
        <v>1</v>
      </c>
      <c r="N112">
        <f t="shared" si="21"/>
        <v>1</v>
      </c>
      <c r="O112">
        <f t="shared" si="22"/>
        <v>1</v>
      </c>
      <c r="P112">
        <f t="shared" si="23"/>
        <v>7.6899999999999996E-2</v>
      </c>
      <c r="Q112">
        <v>17</v>
      </c>
      <c r="R112">
        <v>6</v>
      </c>
      <c r="S112">
        <v>4</v>
      </c>
      <c r="T112">
        <v>0</v>
      </c>
      <c r="U112">
        <v>0</v>
      </c>
      <c r="V112">
        <v>0</v>
      </c>
      <c r="W112">
        <v>0</v>
      </c>
      <c r="X112">
        <v>0</v>
      </c>
      <c r="Y112">
        <f t="shared" si="24"/>
        <v>27</v>
      </c>
      <c r="Z112">
        <f t="shared" si="25"/>
        <v>40</v>
      </c>
      <c r="AA112">
        <f t="shared" si="26"/>
        <v>0.62960000000000005</v>
      </c>
      <c r="AB112">
        <f t="shared" si="27"/>
        <v>0.85189999999999999</v>
      </c>
      <c r="AC112">
        <f t="shared" si="28"/>
        <v>1</v>
      </c>
      <c r="AD112">
        <f t="shared" si="29"/>
        <v>1</v>
      </c>
      <c r="AE112">
        <f t="shared" si="30"/>
        <v>0</v>
      </c>
      <c r="AF112">
        <f t="shared" si="31"/>
        <v>0.71789999999999998</v>
      </c>
      <c r="AG112">
        <f t="shared" si="32"/>
        <v>0.89739999999999998</v>
      </c>
      <c r="AH112">
        <f t="shared" si="33"/>
        <v>1</v>
      </c>
      <c r="AI112">
        <f t="shared" si="34"/>
        <v>1</v>
      </c>
      <c r="AJ112">
        <f t="shared" si="35"/>
        <v>2.5000000000000001E-2</v>
      </c>
    </row>
    <row r="113" spans="1:36" x14ac:dyDescent="0.25">
      <c r="A113" s="1">
        <v>45974.625</v>
      </c>
      <c r="B113" s="2" t="s">
        <v>50</v>
      </c>
      <c r="C113">
        <v>6</v>
      </c>
      <c r="D113">
        <v>1</v>
      </c>
      <c r="E113">
        <v>1</v>
      </c>
      <c r="F113">
        <v>1</v>
      </c>
      <c r="G113">
        <v>0</v>
      </c>
      <c r="H113">
        <v>0</v>
      </c>
      <c r="I113">
        <v>0</v>
      </c>
      <c r="J113">
        <v>2</v>
      </c>
      <c r="K113">
        <f t="shared" si="18"/>
        <v>11</v>
      </c>
      <c r="L113">
        <f t="shared" si="19"/>
        <v>0.66669999999999996</v>
      </c>
      <c r="M113">
        <f t="shared" si="20"/>
        <v>0.77780000000000005</v>
      </c>
      <c r="N113">
        <f t="shared" si="21"/>
        <v>0.88890000000000002</v>
      </c>
      <c r="O113">
        <f t="shared" si="22"/>
        <v>1</v>
      </c>
      <c r="P113">
        <f t="shared" si="23"/>
        <v>0.18179999999999999</v>
      </c>
      <c r="Q113">
        <v>24</v>
      </c>
      <c r="R113">
        <v>9</v>
      </c>
      <c r="S113">
        <v>3</v>
      </c>
      <c r="T113">
        <v>4</v>
      </c>
      <c r="U113">
        <v>0</v>
      </c>
      <c r="V113">
        <v>1</v>
      </c>
      <c r="W113">
        <v>0</v>
      </c>
      <c r="X113">
        <v>1</v>
      </c>
      <c r="Y113">
        <f t="shared" si="24"/>
        <v>42</v>
      </c>
      <c r="Z113">
        <f t="shared" si="25"/>
        <v>53</v>
      </c>
      <c r="AA113">
        <f t="shared" si="26"/>
        <v>0.58540000000000003</v>
      </c>
      <c r="AB113">
        <f t="shared" si="27"/>
        <v>0.80489999999999995</v>
      </c>
      <c r="AC113">
        <f t="shared" si="28"/>
        <v>0.878</v>
      </c>
      <c r="AD113">
        <f t="shared" si="29"/>
        <v>0.97560000000000002</v>
      </c>
      <c r="AE113">
        <f t="shared" si="30"/>
        <v>2.3800000000000002E-2</v>
      </c>
      <c r="AF113">
        <f t="shared" si="31"/>
        <v>0.6</v>
      </c>
      <c r="AG113">
        <f t="shared" si="32"/>
        <v>0.8</v>
      </c>
      <c r="AH113">
        <f t="shared" si="33"/>
        <v>0.88</v>
      </c>
      <c r="AI113">
        <f t="shared" si="34"/>
        <v>0.98</v>
      </c>
      <c r="AJ113">
        <f t="shared" si="35"/>
        <v>5.6599999999999998E-2</v>
      </c>
    </row>
    <row r="114" spans="1:36" x14ac:dyDescent="0.25">
      <c r="A114" s="1">
        <v>45974.666666666664</v>
      </c>
      <c r="B114" s="2" t="s">
        <v>51</v>
      </c>
      <c r="C114">
        <v>9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f t="shared" si="18"/>
        <v>11</v>
      </c>
      <c r="L114">
        <f t="shared" si="19"/>
        <v>0.9</v>
      </c>
      <c r="M114">
        <f t="shared" si="20"/>
        <v>1</v>
      </c>
      <c r="N114">
        <f t="shared" si="21"/>
        <v>1</v>
      </c>
      <c r="O114">
        <f t="shared" si="22"/>
        <v>1</v>
      </c>
      <c r="P114">
        <f t="shared" si="23"/>
        <v>9.0899999999999995E-2</v>
      </c>
      <c r="Q114">
        <v>19</v>
      </c>
      <c r="R114">
        <v>5</v>
      </c>
      <c r="S114">
        <v>0</v>
      </c>
      <c r="T114">
        <v>2</v>
      </c>
      <c r="U114">
        <v>1</v>
      </c>
      <c r="V114">
        <v>2</v>
      </c>
      <c r="W114">
        <v>0</v>
      </c>
      <c r="X114">
        <v>4</v>
      </c>
      <c r="Y114">
        <f t="shared" si="24"/>
        <v>33</v>
      </c>
      <c r="Z114">
        <f t="shared" si="25"/>
        <v>44</v>
      </c>
      <c r="AA114">
        <f t="shared" si="26"/>
        <v>0.6552</v>
      </c>
      <c r="AB114">
        <f t="shared" si="27"/>
        <v>0.8276</v>
      </c>
      <c r="AC114">
        <f t="shared" si="28"/>
        <v>0.8276</v>
      </c>
      <c r="AD114">
        <f t="shared" si="29"/>
        <v>0.89659999999999995</v>
      </c>
      <c r="AE114">
        <f t="shared" si="30"/>
        <v>0.1212</v>
      </c>
      <c r="AF114">
        <f t="shared" si="31"/>
        <v>0.71789999999999998</v>
      </c>
      <c r="AG114">
        <f t="shared" si="32"/>
        <v>0.87180000000000002</v>
      </c>
      <c r="AH114">
        <f t="shared" si="33"/>
        <v>0.87180000000000002</v>
      </c>
      <c r="AI114">
        <f t="shared" si="34"/>
        <v>0.92310000000000003</v>
      </c>
      <c r="AJ114">
        <f t="shared" si="35"/>
        <v>0.11360000000000001</v>
      </c>
    </row>
    <row r="115" spans="1:36" x14ac:dyDescent="0.25">
      <c r="A115" s="1">
        <v>45974.708333333336</v>
      </c>
      <c r="B115" s="2" t="s">
        <v>52</v>
      </c>
      <c r="C115">
        <v>13</v>
      </c>
      <c r="D115">
        <v>2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3</v>
      </c>
      <c r="K115">
        <f t="shared" si="18"/>
        <v>19</v>
      </c>
      <c r="L115">
        <f t="shared" si="19"/>
        <v>0.8125</v>
      </c>
      <c r="M115">
        <f t="shared" si="20"/>
        <v>0.9375</v>
      </c>
      <c r="N115">
        <f t="shared" si="21"/>
        <v>1</v>
      </c>
      <c r="O115">
        <f t="shared" si="22"/>
        <v>1</v>
      </c>
      <c r="P115">
        <f t="shared" si="23"/>
        <v>0.15790000000000001</v>
      </c>
      <c r="Q115">
        <v>6</v>
      </c>
      <c r="R115">
        <v>5</v>
      </c>
      <c r="S115">
        <v>4</v>
      </c>
      <c r="T115">
        <v>4</v>
      </c>
      <c r="U115">
        <v>2</v>
      </c>
      <c r="V115">
        <v>0</v>
      </c>
      <c r="W115">
        <v>0</v>
      </c>
      <c r="X115">
        <v>4</v>
      </c>
      <c r="Y115">
        <f t="shared" si="24"/>
        <v>25</v>
      </c>
      <c r="Z115">
        <f t="shared" si="25"/>
        <v>44</v>
      </c>
      <c r="AA115">
        <f t="shared" si="26"/>
        <v>0.28570000000000001</v>
      </c>
      <c r="AB115">
        <f t="shared" si="27"/>
        <v>0.52380000000000004</v>
      </c>
      <c r="AC115">
        <f t="shared" si="28"/>
        <v>0.71430000000000005</v>
      </c>
      <c r="AD115">
        <f t="shared" si="29"/>
        <v>0.90480000000000005</v>
      </c>
      <c r="AE115">
        <f t="shared" si="30"/>
        <v>0.16</v>
      </c>
      <c r="AF115">
        <f t="shared" si="31"/>
        <v>0.51349999999999996</v>
      </c>
      <c r="AG115">
        <f t="shared" si="32"/>
        <v>0.70269999999999999</v>
      </c>
      <c r="AH115">
        <f t="shared" si="33"/>
        <v>0.83779999999999999</v>
      </c>
      <c r="AI115">
        <f t="shared" si="34"/>
        <v>0.94589999999999996</v>
      </c>
      <c r="AJ115">
        <f t="shared" si="35"/>
        <v>0.15909999999999999</v>
      </c>
    </row>
    <row r="116" spans="1:36" x14ac:dyDescent="0.25">
      <c r="A116" s="1">
        <v>45974.75</v>
      </c>
      <c r="B116" s="2" t="s">
        <v>53</v>
      </c>
      <c r="C116">
        <v>13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f t="shared" si="18"/>
        <v>15</v>
      </c>
      <c r="L116">
        <f t="shared" si="19"/>
        <v>0.92859999999999998</v>
      </c>
      <c r="M116">
        <f t="shared" si="20"/>
        <v>1</v>
      </c>
      <c r="N116">
        <f t="shared" si="21"/>
        <v>1</v>
      </c>
      <c r="O116">
        <f t="shared" si="22"/>
        <v>1</v>
      </c>
      <c r="P116">
        <f t="shared" si="23"/>
        <v>6.6699999999999995E-2</v>
      </c>
      <c r="Q116">
        <v>13</v>
      </c>
      <c r="R116">
        <v>3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f t="shared" si="24"/>
        <v>16</v>
      </c>
      <c r="Z116">
        <f t="shared" si="25"/>
        <v>31</v>
      </c>
      <c r="AA116">
        <f t="shared" si="26"/>
        <v>0.8125</v>
      </c>
      <c r="AB116">
        <f t="shared" si="27"/>
        <v>1</v>
      </c>
      <c r="AC116">
        <f t="shared" si="28"/>
        <v>1</v>
      </c>
      <c r="AD116">
        <f t="shared" si="29"/>
        <v>1</v>
      </c>
      <c r="AE116">
        <f t="shared" si="30"/>
        <v>0</v>
      </c>
      <c r="AF116">
        <f>ROUND(SUM(C116,Q116)/SUM((K116-J116),(Y116-X116)), 4)</f>
        <v>0.86670000000000003</v>
      </c>
      <c r="AG116">
        <f t="shared" si="32"/>
        <v>1</v>
      </c>
      <c r="AH116">
        <f t="shared" si="33"/>
        <v>1</v>
      </c>
      <c r="AI116">
        <f t="shared" si="34"/>
        <v>1</v>
      </c>
      <c r="AJ116">
        <f t="shared" si="35"/>
        <v>3.2300000000000002E-2</v>
      </c>
    </row>
    <row r="117" spans="1:36" x14ac:dyDescent="0.25">
      <c r="A117" s="1">
        <v>45974.791666666664</v>
      </c>
      <c r="B117" s="2" t="s">
        <v>54</v>
      </c>
      <c r="C117">
        <v>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</v>
      </c>
      <c r="K117">
        <f t="shared" si="18"/>
        <v>6</v>
      </c>
      <c r="L117">
        <f t="shared" si="19"/>
        <v>1</v>
      </c>
      <c r="M117">
        <f t="shared" si="20"/>
        <v>1</v>
      </c>
      <c r="N117">
        <f t="shared" si="21"/>
        <v>1</v>
      </c>
      <c r="O117">
        <f t="shared" si="22"/>
        <v>1</v>
      </c>
      <c r="P117">
        <f t="shared" si="23"/>
        <v>0.33329999999999999</v>
      </c>
      <c r="Q117">
        <v>20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f t="shared" si="24"/>
        <v>21</v>
      </c>
      <c r="Z117">
        <f t="shared" si="25"/>
        <v>27</v>
      </c>
      <c r="AA117">
        <f t="shared" si="26"/>
        <v>0.95240000000000002</v>
      </c>
      <c r="AB117">
        <f t="shared" si="27"/>
        <v>0.95240000000000002</v>
      </c>
      <c r="AC117">
        <f t="shared" si="28"/>
        <v>1</v>
      </c>
      <c r="AD117">
        <f t="shared" si="29"/>
        <v>1</v>
      </c>
      <c r="AE117">
        <f t="shared" si="30"/>
        <v>0</v>
      </c>
      <c r="AF117">
        <f t="shared" si="31"/>
        <v>0.96</v>
      </c>
      <c r="AG117">
        <f t="shared" si="32"/>
        <v>0.96</v>
      </c>
      <c r="AH117">
        <f t="shared" si="33"/>
        <v>1</v>
      </c>
      <c r="AI117">
        <f t="shared" si="34"/>
        <v>1</v>
      </c>
      <c r="AJ117">
        <f t="shared" si="35"/>
        <v>7.4099999999999999E-2</v>
      </c>
    </row>
    <row r="118" spans="1:36" x14ac:dyDescent="0.25">
      <c r="A118" s="1">
        <v>45974.833333333336</v>
      </c>
      <c r="B118" s="2" t="s">
        <v>55</v>
      </c>
      <c r="C118">
        <v>16</v>
      </c>
      <c r="D118">
        <v>1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3</v>
      </c>
      <c r="K118">
        <f t="shared" si="18"/>
        <v>22</v>
      </c>
      <c r="L118">
        <f t="shared" si="19"/>
        <v>0.84209999999999996</v>
      </c>
      <c r="M118">
        <f t="shared" si="20"/>
        <v>0.89470000000000005</v>
      </c>
      <c r="N118">
        <f t="shared" si="21"/>
        <v>0.94740000000000002</v>
      </c>
      <c r="O118">
        <f t="shared" si="22"/>
        <v>1</v>
      </c>
      <c r="P118">
        <f t="shared" si="23"/>
        <v>0.13639999999999999</v>
      </c>
      <c r="Q118">
        <v>16</v>
      </c>
      <c r="R118">
        <v>1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f t="shared" si="24"/>
        <v>18</v>
      </c>
      <c r="Z118">
        <f t="shared" si="25"/>
        <v>40</v>
      </c>
      <c r="AA118">
        <f t="shared" si="26"/>
        <v>0.88890000000000002</v>
      </c>
      <c r="AB118">
        <f t="shared" si="27"/>
        <v>0.94440000000000002</v>
      </c>
      <c r="AC118">
        <f t="shared" si="28"/>
        <v>0.94440000000000002</v>
      </c>
      <c r="AD118">
        <f t="shared" si="29"/>
        <v>1</v>
      </c>
      <c r="AE118">
        <f t="shared" si="30"/>
        <v>0</v>
      </c>
      <c r="AF118">
        <f t="shared" si="31"/>
        <v>0.8649</v>
      </c>
      <c r="AG118">
        <f t="shared" si="32"/>
        <v>0.91890000000000005</v>
      </c>
      <c r="AH118">
        <f t="shared" si="33"/>
        <v>0.94589999999999996</v>
      </c>
      <c r="AI118">
        <f t="shared" si="34"/>
        <v>1</v>
      </c>
      <c r="AJ118">
        <f t="shared" si="35"/>
        <v>7.4999999999999997E-2</v>
      </c>
    </row>
    <row r="119" spans="1:36" x14ac:dyDescent="0.25">
      <c r="A119" s="1">
        <v>45974.875</v>
      </c>
      <c r="B119" s="2" t="s">
        <v>56</v>
      </c>
      <c r="C119">
        <v>2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2</v>
      </c>
      <c r="K119">
        <f t="shared" si="18"/>
        <v>5</v>
      </c>
      <c r="L119">
        <f t="shared" si="19"/>
        <v>0.66669999999999996</v>
      </c>
      <c r="M119">
        <f t="shared" si="20"/>
        <v>1</v>
      </c>
      <c r="N119">
        <f t="shared" si="21"/>
        <v>1</v>
      </c>
      <c r="O119">
        <f t="shared" si="22"/>
        <v>1</v>
      </c>
      <c r="P119">
        <f t="shared" si="23"/>
        <v>0.4</v>
      </c>
      <c r="Q119">
        <v>15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f t="shared" si="24"/>
        <v>15</v>
      </c>
      <c r="Z119">
        <f t="shared" si="25"/>
        <v>20</v>
      </c>
      <c r="AA119">
        <f t="shared" si="26"/>
        <v>1</v>
      </c>
      <c r="AB119">
        <f t="shared" si="27"/>
        <v>1</v>
      </c>
      <c r="AC119">
        <f t="shared" si="28"/>
        <v>1</v>
      </c>
      <c r="AD119">
        <f t="shared" si="29"/>
        <v>1</v>
      </c>
      <c r="AE119">
        <f t="shared" si="30"/>
        <v>0</v>
      </c>
      <c r="AF119">
        <f t="shared" si="31"/>
        <v>0.94440000000000002</v>
      </c>
      <c r="AG119">
        <f t="shared" si="32"/>
        <v>1</v>
      </c>
      <c r="AH119">
        <f t="shared" si="33"/>
        <v>1</v>
      </c>
      <c r="AI119">
        <f t="shared" si="34"/>
        <v>1</v>
      </c>
      <c r="AJ119">
        <f t="shared" si="35"/>
        <v>0.1</v>
      </c>
    </row>
    <row r="120" spans="1:36" x14ac:dyDescent="0.25">
      <c r="A120" s="1">
        <v>45974.916666666664</v>
      </c>
      <c r="B120" s="2" t="s">
        <v>57</v>
      </c>
      <c r="C120">
        <v>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f t="shared" si="18"/>
        <v>5</v>
      </c>
      <c r="L120">
        <f t="shared" si="19"/>
        <v>1</v>
      </c>
      <c r="M120">
        <f t="shared" si="20"/>
        <v>1</v>
      </c>
      <c r="N120">
        <f t="shared" si="21"/>
        <v>1</v>
      </c>
      <c r="O120">
        <f t="shared" si="22"/>
        <v>1</v>
      </c>
      <c r="P120">
        <f t="shared" si="23"/>
        <v>0</v>
      </c>
      <c r="Q120">
        <v>11</v>
      </c>
      <c r="R120">
        <v>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f t="shared" si="24"/>
        <v>15</v>
      </c>
      <c r="Z120">
        <f t="shared" si="25"/>
        <v>20</v>
      </c>
      <c r="AA120">
        <f t="shared" si="26"/>
        <v>0.73329999999999995</v>
      </c>
      <c r="AB120">
        <f t="shared" si="27"/>
        <v>1</v>
      </c>
      <c r="AC120">
        <f t="shared" si="28"/>
        <v>1</v>
      </c>
      <c r="AD120">
        <f t="shared" si="29"/>
        <v>1</v>
      </c>
      <c r="AE120">
        <f t="shared" si="30"/>
        <v>0</v>
      </c>
      <c r="AF120">
        <f t="shared" si="31"/>
        <v>0.8</v>
      </c>
      <c r="AG120">
        <f t="shared" si="32"/>
        <v>1</v>
      </c>
      <c r="AH120">
        <f t="shared" si="33"/>
        <v>1</v>
      </c>
      <c r="AI120">
        <f t="shared" si="34"/>
        <v>1</v>
      </c>
      <c r="AJ120">
        <f t="shared" si="35"/>
        <v>0</v>
      </c>
    </row>
    <row r="121" spans="1:36" x14ac:dyDescent="0.25">
      <c r="A121" s="1">
        <v>45974.958333333336</v>
      </c>
      <c r="B121" s="2" t="s">
        <v>58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f t="shared" si="18"/>
        <v>4</v>
      </c>
      <c r="L121">
        <f t="shared" si="19"/>
        <v>1</v>
      </c>
      <c r="M121">
        <f t="shared" si="20"/>
        <v>1</v>
      </c>
      <c r="N121">
        <f t="shared" si="21"/>
        <v>1</v>
      </c>
      <c r="O121">
        <f t="shared" si="22"/>
        <v>1</v>
      </c>
      <c r="P121">
        <f t="shared" si="23"/>
        <v>0</v>
      </c>
      <c r="Q121">
        <v>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f t="shared" si="24"/>
        <v>8</v>
      </c>
      <c r="Z121">
        <f t="shared" si="25"/>
        <v>12</v>
      </c>
      <c r="AA121">
        <f t="shared" si="26"/>
        <v>1</v>
      </c>
      <c r="AB121">
        <f t="shared" si="27"/>
        <v>1</v>
      </c>
      <c r="AC121">
        <f t="shared" si="28"/>
        <v>1</v>
      </c>
      <c r="AD121">
        <f t="shared" si="29"/>
        <v>1</v>
      </c>
      <c r="AE121">
        <f t="shared" si="30"/>
        <v>0</v>
      </c>
      <c r="AF121">
        <f t="shared" si="31"/>
        <v>1</v>
      </c>
      <c r="AG121">
        <f t="shared" si="32"/>
        <v>1</v>
      </c>
      <c r="AH121">
        <f t="shared" si="33"/>
        <v>1</v>
      </c>
      <c r="AI121">
        <f t="shared" si="34"/>
        <v>1</v>
      </c>
      <c r="AJ121">
        <f t="shared" si="35"/>
        <v>0</v>
      </c>
    </row>
    <row r="122" spans="1:36" x14ac:dyDescent="0.25">
      <c r="A122" s="1">
        <v>45975</v>
      </c>
      <c r="B122" s="2" t="s">
        <v>35</v>
      </c>
      <c r="C122">
        <v>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f t="shared" si="18"/>
        <v>4</v>
      </c>
      <c r="L122">
        <f t="shared" si="19"/>
        <v>1</v>
      </c>
      <c r="M122">
        <f t="shared" si="20"/>
        <v>1</v>
      </c>
      <c r="N122">
        <f t="shared" si="21"/>
        <v>1</v>
      </c>
      <c r="O122">
        <f t="shared" si="22"/>
        <v>1</v>
      </c>
      <c r="P122">
        <f t="shared" si="23"/>
        <v>0</v>
      </c>
      <c r="Q122">
        <v>8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f t="shared" si="24"/>
        <v>8</v>
      </c>
      <c r="Z122">
        <f t="shared" si="25"/>
        <v>12</v>
      </c>
      <c r="AA122">
        <f t="shared" si="26"/>
        <v>1</v>
      </c>
      <c r="AB122">
        <f t="shared" si="27"/>
        <v>1</v>
      </c>
      <c r="AC122">
        <f t="shared" si="28"/>
        <v>1</v>
      </c>
      <c r="AD122">
        <f t="shared" si="29"/>
        <v>1</v>
      </c>
      <c r="AE122">
        <f t="shared" si="30"/>
        <v>0</v>
      </c>
      <c r="AF122">
        <f t="shared" si="31"/>
        <v>1</v>
      </c>
      <c r="AG122">
        <f t="shared" si="32"/>
        <v>1</v>
      </c>
      <c r="AH122">
        <f t="shared" si="33"/>
        <v>1</v>
      </c>
      <c r="AI122">
        <f t="shared" si="34"/>
        <v>1</v>
      </c>
      <c r="AJ122">
        <f t="shared" si="35"/>
        <v>0</v>
      </c>
    </row>
    <row r="123" spans="1:36" x14ac:dyDescent="0.25">
      <c r="A123" s="1">
        <v>45975.041666666664</v>
      </c>
      <c r="B123" s="2" t="s">
        <v>36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f t="shared" si="18"/>
        <v>1</v>
      </c>
      <c r="L123">
        <f t="shared" si="19"/>
        <v>1</v>
      </c>
      <c r="M123">
        <f t="shared" si="20"/>
        <v>1</v>
      </c>
      <c r="N123">
        <f t="shared" si="21"/>
        <v>1</v>
      </c>
      <c r="O123">
        <f t="shared" si="22"/>
        <v>1</v>
      </c>
      <c r="P123">
        <f t="shared" si="23"/>
        <v>0</v>
      </c>
      <c r="Q123">
        <v>9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f t="shared" si="24"/>
        <v>9</v>
      </c>
      <c r="Z123">
        <f t="shared" si="25"/>
        <v>10</v>
      </c>
      <c r="AA123">
        <f t="shared" si="26"/>
        <v>1</v>
      </c>
      <c r="AB123">
        <f t="shared" si="27"/>
        <v>1</v>
      </c>
      <c r="AC123">
        <f t="shared" si="28"/>
        <v>1</v>
      </c>
      <c r="AD123">
        <f t="shared" si="29"/>
        <v>1</v>
      </c>
      <c r="AE123">
        <f t="shared" si="30"/>
        <v>0</v>
      </c>
      <c r="AF123">
        <f t="shared" si="31"/>
        <v>1</v>
      </c>
      <c r="AG123">
        <f t="shared" si="32"/>
        <v>1</v>
      </c>
      <c r="AH123">
        <f t="shared" si="33"/>
        <v>1</v>
      </c>
      <c r="AI123">
        <f t="shared" si="34"/>
        <v>1</v>
      </c>
      <c r="AJ123">
        <f t="shared" si="35"/>
        <v>0</v>
      </c>
    </row>
    <row r="124" spans="1:36" x14ac:dyDescent="0.25">
      <c r="A124" s="1">
        <v>45975.083333333336</v>
      </c>
      <c r="B124" s="2" t="s">
        <v>37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f t="shared" si="18"/>
        <v>1</v>
      </c>
      <c r="L124">
        <f t="shared" si="19"/>
        <v>1</v>
      </c>
      <c r="M124">
        <f t="shared" si="20"/>
        <v>1</v>
      </c>
      <c r="N124">
        <f t="shared" si="21"/>
        <v>1</v>
      </c>
      <c r="O124">
        <f t="shared" si="22"/>
        <v>1</v>
      </c>
      <c r="P124">
        <f t="shared" si="23"/>
        <v>0</v>
      </c>
      <c r="Q124">
        <v>7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f t="shared" si="24"/>
        <v>8</v>
      </c>
      <c r="Z124">
        <f t="shared" si="25"/>
        <v>9</v>
      </c>
      <c r="AA124">
        <f t="shared" si="26"/>
        <v>0.875</v>
      </c>
      <c r="AB124">
        <f t="shared" si="27"/>
        <v>0.875</v>
      </c>
      <c r="AC124">
        <f t="shared" si="28"/>
        <v>0.875</v>
      </c>
      <c r="AD124">
        <f t="shared" si="29"/>
        <v>0.875</v>
      </c>
      <c r="AE124">
        <f t="shared" si="30"/>
        <v>0</v>
      </c>
      <c r="AF124">
        <f t="shared" si="31"/>
        <v>0.88890000000000002</v>
      </c>
      <c r="AG124">
        <f t="shared" si="32"/>
        <v>0.88890000000000002</v>
      </c>
      <c r="AH124">
        <f t="shared" si="33"/>
        <v>0.88890000000000002</v>
      </c>
      <c r="AI124">
        <f t="shared" si="34"/>
        <v>0.88890000000000002</v>
      </c>
      <c r="AJ124">
        <f t="shared" si="35"/>
        <v>0</v>
      </c>
    </row>
    <row r="125" spans="1:36" x14ac:dyDescent="0.25">
      <c r="A125" s="1">
        <v>45975.125</v>
      </c>
      <c r="B125" s="2" t="s">
        <v>38</v>
      </c>
      <c r="C125">
        <v>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f t="shared" si="18"/>
        <v>2</v>
      </c>
      <c r="L125">
        <f t="shared" si="19"/>
        <v>1</v>
      </c>
      <c r="M125">
        <f t="shared" si="20"/>
        <v>1</v>
      </c>
      <c r="N125">
        <f t="shared" si="21"/>
        <v>1</v>
      </c>
      <c r="O125">
        <f t="shared" si="22"/>
        <v>1</v>
      </c>
      <c r="P125">
        <f t="shared" si="23"/>
        <v>0</v>
      </c>
      <c r="Q125">
        <v>6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f t="shared" si="24"/>
        <v>7</v>
      </c>
      <c r="Z125">
        <f t="shared" si="25"/>
        <v>9</v>
      </c>
      <c r="AA125">
        <f t="shared" si="26"/>
        <v>0.85709999999999997</v>
      </c>
      <c r="AB125">
        <f t="shared" si="27"/>
        <v>1</v>
      </c>
      <c r="AC125">
        <f t="shared" si="28"/>
        <v>1</v>
      </c>
      <c r="AD125">
        <f t="shared" si="29"/>
        <v>1</v>
      </c>
      <c r="AE125">
        <f t="shared" si="30"/>
        <v>0</v>
      </c>
      <c r="AF125">
        <f t="shared" si="31"/>
        <v>0.88890000000000002</v>
      </c>
      <c r="AG125">
        <f t="shared" si="32"/>
        <v>1</v>
      </c>
      <c r="AH125">
        <f t="shared" si="33"/>
        <v>1</v>
      </c>
      <c r="AI125">
        <f t="shared" si="34"/>
        <v>1</v>
      </c>
      <c r="AJ125">
        <f t="shared" si="35"/>
        <v>0</v>
      </c>
    </row>
    <row r="126" spans="1:36" x14ac:dyDescent="0.25">
      <c r="A126" s="1">
        <v>45975.166666666664</v>
      </c>
      <c r="B126" s="2" t="s">
        <v>39</v>
      </c>
      <c r="C126">
        <v>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f t="shared" si="18"/>
        <v>5</v>
      </c>
      <c r="L126">
        <f t="shared" si="19"/>
        <v>1</v>
      </c>
      <c r="M126">
        <f t="shared" si="20"/>
        <v>1</v>
      </c>
      <c r="N126">
        <f t="shared" si="21"/>
        <v>1</v>
      </c>
      <c r="O126">
        <f t="shared" si="22"/>
        <v>1</v>
      </c>
      <c r="P126">
        <f t="shared" si="23"/>
        <v>0</v>
      </c>
      <c r="Q126">
        <v>8</v>
      </c>
      <c r="R126">
        <v>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f t="shared" si="24"/>
        <v>10</v>
      </c>
      <c r="Z126">
        <f t="shared" si="25"/>
        <v>15</v>
      </c>
      <c r="AA126">
        <f t="shared" si="26"/>
        <v>0.8</v>
      </c>
      <c r="AB126">
        <f t="shared" si="27"/>
        <v>1</v>
      </c>
      <c r="AC126">
        <f t="shared" si="28"/>
        <v>1</v>
      </c>
      <c r="AD126">
        <f t="shared" si="29"/>
        <v>1</v>
      </c>
      <c r="AE126">
        <f t="shared" si="30"/>
        <v>0</v>
      </c>
      <c r="AF126">
        <f t="shared" si="31"/>
        <v>0.86670000000000003</v>
      </c>
      <c r="AG126">
        <f t="shared" si="32"/>
        <v>1</v>
      </c>
      <c r="AH126">
        <f t="shared" si="33"/>
        <v>1</v>
      </c>
      <c r="AI126">
        <f t="shared" si="34"/>
        <v>1</v>
      </c>
      <c r="AJ126">
        <f t="shared" si="35"/>
        <v>0</v>
      </c>
    </row>
    <row r="127" spans="1:36" x14ac:dyDescent="0.25">
      <c r="A127" s="1">
        <v>45975.208333333336</v>
      </c>
      <c r="B127" s="2" t="s">
        <v>40</v>
      </c>
      <c r="C127">
        <v>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f t="shared" si="18"/>
        <v>6</v>
      </c>
      <c r="L127">
        <f t="shared" si="19"/>
        <v>1</v>
      </c>
      <c r="M127">
        <f t="shared" si="20"/>
        <v>1</v>
      </c>
      <c r="N127">
        <f t="shared" si="21"/>
        <v>1</v>
      </c>
      <c r="O127">
        <f t="shared" si="22"/>
        <v>1</v>
      </c>
      <c r="P127">
        <f t="shared" si="23"/>
        <v>0</v>
      </c>
      <c r="Q127">
        <v>6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f t="shared" si="24"/>
        <v>6</v>
      </c>
      <c r="Z127">
        <f t="shared" si="25"/>
        <v>12</v>
      </c>
      <c r="AA127">
        <f t="shared" si="26"/>
        <v>1</v>
      </c>
      <c r="AB127">
        <f t="shared" si="27"/>
        <v>1</v>
      </c>
      <c r="AC127">
        <f t="shared" si="28"/>
        <v>1</v>
      </c>
      <c r="AD127">
        <f t="shared" si="29"/>
        <v>1</v>
      </c>
      <c r="AE127">
        <f t="shared" si="30"/>
        <v>0</v>
      </c>
      <c r="AF127">
        <f t="shared" si="31"/>
        <v>1</v>
      </c>
      <c r="AG127">
        <f t="shared" si="32"/>
        <v>1</v>
      </c>
      <c r="AH127">
        <f t="shared" si="33"/>
        <v>1</v>
      </c>
      <c r="AI127">
        <f t="shared" si="34"/>
        <v>1</v>
      </c>
      <c r="AJ127">
        <f t="shared" si="35"/>
        <v>0</v>
      </c>
    </row>
    <row r="128" spans="1:36" x14ac:dyDescent="0.25">
      <c r="A128" s="1">
        <v>45975.25</v>
      </c>
      <c r="B128" s="2" t="s">
        <v>41</v>
      </c>
      <c r="C128">
        <v>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f t="shared" si="18"/>
        <v>5</v>
      </c>
      <c r="L128">
        <f t="shared" si="19"/>
        <v>1</v>
      </c>
      <c r="M128">
        <f t="shared" si="20"/>
        <v>1</v>
      </c>
      <c r="N128">
        <f t="shared" si="21"/>
        <v>1</v>
      </c>
      <c r="O128">
        <f t="shared" si="22"/>
        <v>1</v>
      </c>
      <c r="P128">
        <f t="shared" si="23"/>
        <v>0</v>
      </c>
      <c r="Q128">
        <v>9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f t="shared" si="24"/>
        <v>10</v>
      </c>
      <c r="Z128">
        <f t="shared" si="25"/>
        <v>15</v>
      </c>
      <c r="AA128">
        <f t="shared" si="26"/>
        <v>0.9</v>
      </c>
      <c r="AB128">
        <f t="shared" si="27"/>
        <v>1</v>
      </c>
      <c r="AC128">
        <f t="shared" si="28"/>
        <v>1</v>
      </c>
      <c r="AD128">
        <f t="shared" si="29"/>
        <v>1</v>
      </c>
      <c r="AE128">
        <f t="shared" si="30"/>
        <v>0</v>
      </c>
      <c r="AF128">
        <f t="shared" si="31"/>
        <v>0.93330000000000002</v>
      </c>
      <c r="AG128">
        <f t="shared" si="32"/>
        <v>1</v>
      </c>
      <c r="AH128">
        <f t="shared" si="33"/>
        <v>1</v>
      </c>
      <c r="AI128">
        <f t="shared" si="34"/>
        <v>1</v>
      </c>
      <c r="AJ128">
        <f t="shared" si="35"/>
        <v>0</v>
      </c>
    </row>
    <row r="129" spans="1:36" x14ac:dyDescent="0.25">
      <c r="A129" s="1">
        <v>45975.291666666664</v>
      </c>
      <c r="B129" s="2" t="s">
        <v>42</v>
      </c>
      <c r="C129">
        <v>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</v>
      </c>
      <c r="K129">
        <f t="shared" si="18"/>
        <v>8</v>
      </c>
      <c r="L129">
        <f t="shared" si="19"/>
        <v>1</v>
      </c>
      <c r="M129">
        <f t="shared" si="20"/>
        <v>1</v>
      </c>
      <c r="N129">
        <f t="shared" si="21"/>
        <v>1</v>
      </c>
      <c r="O129">
        <f t="shared" si="22"/>
        <v>1</v>
      </c>
      <c r="P129">
        <f t="shared" si="23"/>
        <v>0.25</v>
      </c>
      <c r="Q129">
        <v>26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f t="shared" si="24"/>
        <v>27</v>
      </c>
      <c r="Z129">
        <f t="shared" si="25"/>
        <v>35</v>
      </c>
      <c r="AA129">
        <f t="shared" si="26"/>
        <v>0.96299999999999997</v>
      </c>
      <c r="AB129">
        <f t="shared" si="27"/>
        <v>0.96299999999999997</v>
      </c>
      <c r="AC129">
        <f t="shared" si="28"/>
        <v>1</v>
      </c>
      <c r="AD129">
        <f t="shared" si="29"/>
        <v>1</v>
      </c>
      <c r="AE129">
        <f t="shared" si="30"/>
        <v>0</v>
      </c>
      <c r="AF129">
        <f t="shared" si="31"/>
        <v>0.96970000000000001</v>
      </c>
      <c r="AG129">
        <f t="shared" si="32"/>
        <v>0.96970000000000001</v>
      </c>
      <c r="AH129">
        <f t="shared" si="33"/>
        <v>1</v>
      </c>
      <c r="AI129">
        <f t="shared" si="34"/>
        <v>1</v>
      </c>
      <c r="AJ129">
        <f t="shared" si="35"/>
        <v>5.7099999999999998E-2</v>
      </c>
    </row>
    <row r="130" spans="1:36" x14ac:dyDescent="0.25">
      <c r="A130" s="1">
        <v>45975.333333333336</v>
      </c>
      <c r="B130" s="2" t="s">
        <v>43</v>
      </c>
      <c r="C130">
        <v>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f t="shared" si="18"/>
        <v>7</v>
      </c>
      <c r="L130">
        <f t="shared" si="19"/>
        <v>1</v>
      </c>
      <c r="M130">
        <f t="shared" si="20"/>
        <v>1</v>
      </c>
      <c r="N130">
        <f t="shared" si="21"/>
        <v>1</v>
      </c>
      <c r="O130">
        <f t="shared" si="22"/>
        <v>1</v>
      </c>
      <c r="P130">
        <f t="shared" si="23"/>
        <v>0.1429</v>
      </c>
      <c r="Q130">
        <v>18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f t="shared" si="24"/>
        <v>19</v>
      </c>
      <c r="Z130">
        <f t="shared" si="25"/>
        <v>26</v>
      </c>
      <c r="AA130">
        <f t="shared" si="26"/>
        <v>0.94740000000000002</v>
      </c>
      <c r="AB130">
        <f t="shared" si="27"/>
        <v>1</v>
      </c>
      <c r="AC130">
        <f t="shared" si="28"/>
        <v>1</v>
      </c>
      <c r="AD130">
        <f t="shared" si="29"/>
        <v>1</v>
      </c>
      <c r="AE130">
        <f t="shared" si="30"/>
        <v>0</v>
      </c>
      <c r="AF130">
        <f t="shared" si="31"/>
        <v>0.96</v>
      </c>
      <c r="AG130">
        <f t="shared" si="32"/>
        <v>1</v>
      </c>
      <c r="AH130">
        <f t="shared" si="33"/>
        <v>1</v>
      </c>
      <c r="AI130">
        <f t="shared" si="34"/>
        <v>1</v>
      </c>
      <c r="AJ130">
        <f t="shared" si="35"/>
        <v>3.85E-2</v>
      </c>
    </row>
    <row r="131" spans="1:36" x14ac:dyDescent="0.25">
      <c r="A131" s="1">
        <v>45975.375</v>
      </c>
      <c r="B131" s="2" t="s">
        <v>44</v>
      </c>
      <c r="C131">
        <v>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f t="shared" ref="K131:K169" si="36">SUM(C131:J131)</f>
        <v>7</v>
      </c>
      <c r="L131">
        <f t="shared" ref="L131:L169" si="37">ROUND(C131/(K131-J131), 4)</f>
        <v>1</v>
      </c>
      <c r="M131">
        <f t="shared" ref="M131:M169" si="38">ROUND((SUM(C131:D131)/(K131-J131)), 4)</f>
        <v>1</v>
      </c>
      <c r="N131">
        <f t="shared" ref="N131:N169" si="39">ROUND(SUM(C131:E131)/(K131-J131), 4)</f>
        <v>1</v>
      </c>
      <c r="O131">
        <f t="shared" ref="O131:O169" si="40">ROUND(SUM(C131:F131)/(K131-J131), 4)</f>
        <v>1</v>
      </c>
      <c r="P131">
        <f t="shared" ref="P131:P169" si="41">ROUND(J131/K131, 4)</f>
        <v>0.1429</v>
      </c>
      <c r="Q131">
        <v>19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f t="shared" ref="Y131:Y169" si="42">SUM(Q131:X131)</f>
        <v>20</v>
      </c>
      <c r="Z131">
        <f t="shared" ref="Z131:Z169" si="43">SUM(K131,Y131)</f>
        <v>27</v>
      </c>
      <c r="AA131">
        <f t="shared" ref="AA131:AA169" si="44">ROUND(Q131/(Y131-X131), 4)</f>
        <v>1</v>
      </c>
      <c r="AB131">
        <f t="shared" ref="AB131:AB169" si="45">ROUND(SUM(Q131:R131)/(Y131-X131), 4)</f>
        <v>1</v>
      </c>
      <c r="AC131">
        <f t="shared" ref="AC131:AC169" si="46">ROUND(SUM(Q131:S131)/(Y131-X131), 4)</f>
        <v>1</v>
      </c>
      <c r="AD131">
        <f t="shared" ref="AD131:AD169" si="47">ROUND(SUM(Q131:T131)/(Y131-X131), 4)</f>
        <v>1</v>
      </c>
      <c r="AE131">
        <f t="shared" ref="AE131:AE169" si="48">ROUND(X131/Y131, 4)</f>
        <v>0.05</v>
      </c>
      <c r="AF131">
        <f t="shared" ref="AF131:AF169" si="49">ROUND(SUM(C131,Q131)/SUM((K131-J131),(Y131-X131)), 4)</f>
        <v>1</v>
      </c>
      <c r="AG131">
        <f t="shared" ref="AG131:AG169" si="50">ROUND(SUM(C131:D131,Q131:R131)/SUM((K131-J131),(Y131-X131)), 4)</f>
        <v>1</v>
      </c>
      <c r="AH131">
        <f t="shared" ref="AH131:AH169" si="51">ROUND(SUM(C131:E131,Q131:S131)/SUM((K131-J131),(Y131-X131)), 4)</f>
        <v>1</v>
      </c>
      <c r="AI131">
        <f t="shared" ref="AI131:AI169" si="52">ROUND(SUM(C131:F131,Q131:T131)/SUM((K131-J131),(Y131-X131)), 4)</f>
        <v>1</v>
      </c>
      <c r="AJ131">
        <f t="shared" ref="AJ131:AJ169" si="53">ROUND(SUM(J131,X131)/Z131, 4)</f>
        <v>7.4099999999999999E-2</v>
      </c>
    </row>
    <row r="132" spans="1:36" x14ac:dyDescent="0.25">
      <c r="A132" s="1">
        <v>45975.416666666664</v>
      </c>
      <c r="B132" s="2" t="s">
        <v>45</v>
      </c>
      <c r="C132">
        <v>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2</v>
      </c>
      <c r="K132">
        <f t="shared" si="36"/>
        <v>7</v>
      </c>
      <c r="L132">
        <f t="shared" si="37"/>
        <v>1</v>
      </c>
      <c r="M132">
        <f t="shared" si="38"/>
        <v>1</v>
      </c>
      <c r="N132">
        <f t="shared" si="39"/>
        <v>1</v>
      </c>
      <c r="O132">
        <f t="shared" si="40"/>
        <v>1</v>
      </c>
      <c r="P132">
        <f t="shared" si="41"/>
        <v>0.28570000000000001</v>
      </c>
      <c r="Q132">
        <v>28</v>
      </c>
      <c r="R132">
        <v>4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f t="shared" si="42"/>
        <v>32</v>
      </c>
      <c r="Z132">
        <f t="shared" si="43"/>
        <v>39</v>
      </c>
      <c r="AA132">
        <f t="shared" si="44"/>
        <v>0.875</v>
      </c>
      <c r="AB132">
        <f t="shared" si="45"/>
        <v>1</v>
      </c>
      <c r="AC132">
        <f t="shared" si="46"/>
        <v>1</v>
      </c>
      <c r="AD132">
        <f t="shared" si="47"/>
        <v>1</v>
      </c>
      <c r="AE132">
        <f t="shared" si="48"/>
        <v>0</v>
      </c>
      <c r="AF132">
        <f t="shared" si="49"/>
        <v>0.89190000000000003</v>
      </c>
      <c r="AG132">
        <f t="shared" si="50"/>
        <v>1</v>
      </c>
      <c r="AH132">
        <f t="shared" si="51"/>
        <v>1</v>
      </c>
      <c r="AI132">
        <f t="shared" si="52"/>
        <v>1</v>
      </c>
      <c r="AJ132">
        <f t="shared" si="53"/>
        <v>5.1299999999999998E-2</v>
      </c>
    </row>
    <row r="133" spans="1:36" x14ac:dyDescent="0.25">
      <c r="A133" s="1">
        <v>45975.458333333336</v>
      </c>
      <c r="B133" s="2" t="s">
        <v>46</v>
      </c>
      <c r="C133">
        <v>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f t="shared" si="36"/>
        <v>2</v>
      </c>
      <c r="L133">
        <f t="shared" si="37"/>
        <v>1</v>
      </c>
      <c r="M133">
        <f t="shared" si="38"/>
        <v>1</v>
      </c>
      <c r="N133">
        <f t="shared" si="39"/>
        <v>1</v>
      </c>
      <c r="O133">
        <f t="shared" si="40"/>
        <v>1</v>
      </c>
      <c r="P133">
        <f t="shared" si="41"/>
        <v>0</v>
      </c>
      <c r="Q133">
        <v>30</v>
      </c>
      <c r="R133">
        <v>2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f t="shared" si="42"/>
        <v>33</v>
      </c>
      <c r="Z133">
        <f t="shared" si="43"/>
        <v>35</v>
      </c>
      <c r="AA133">
        <f t="shared" si="44"/>
        <v>0.90910000000000002</v>
      </c>
      <c r="AB133">
        <f t="shared" si="45"/>
        <v>0.96970000000000001</v>
      </c>
      <c r="AC133">
        <f t="shared" si="46"/>
        <v>1</v>
      </c>
      <c r="AD133">
        <f t="shared" si="47"/>
        <v>1</v>
      </c>
      <c r="AE133">
        <f t="shared" si="48"/>
        <v>0</v>
      </c>
      <c r="AF133">
        <f t="shared" si="49"/>
        <v>0.9143</v>
      </c>
      <c r="AG133">
        <f t="shared" si="50"/>
        <v>0.97140000000000004</v>
      </c>
      <c r="AH133">
        <f t="shared" si="51"/>
        <v>1</v>
      </c>
      <c r="AI133">
        <f t="shared" si="52"/>
        <v>1</v>
      </c>
      <c r="AJ133">
        <f t="shared" si="53"/>
        <v>0</v>
      </c>
    </row>
    <row r="134" spans="1:36" x14ac:dyDescent="0.25">
      <c r="A134" s="1">
        <v>45975.5</v>
      </c>
      <c r="B134" s="2" t="s">
        <v>47</v>
      </c>
      <c r="C134">
        <v>5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f t="shared" si="36"/>
        <v>6</v>
      </c>
      <c r="L134">
        <f t="shared" si="37"/>
        <v>0.83330000000000004</v>
      </c>
      <c r="M134">
        <f t="shared" si="38"/>
        <v>1</v>
      </c>
      <c r="N134">
        <f t="shared" si="39"/>
        <v>1</v>
      </c>
      <c r="O134">
        <f t="shared" si="40"/>
        <v>1</v>
      </c>
      <c r="P134">
        <f t="shared" si="41"/>
        <v>0</v>
      </c>
      <c r="Q134">
        <v>23</v>
      </c>
      <c r="R134">
        <v>3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f t="shared" si="42"/>
        <v>27</v>
      </c>
      <c r="Z134">
        <f t="shared" si="43"/>
        <v>33</v>
      </c>
      <c r="AA134">
        <f t="shared" si="44"/>
        <v>0.85189999999999999</v>
      </c>
      <c r="AB134">
        <f t="shared" si="45"/>
        <v>0.96299999999999997</v>
      </c>
      <c r="AC134">
        <f t="shared" si="46"/>
        <v>1</v>
      </c>
      <c r="AD134">
        <f t="shared" si="47"/>
        <v>1</v>
      </c>
      <c r="AE134">
        <f t="shared" si="48"/>
        <v>0</v>
      </c>
      <c r="AF134">
        <f t="shared" si="49"/>
        <v>0.84850000000000003</v>
      </c>
      <c r="AG134">
        <f t="shared" si="50"/>
        <v>0.96970000000000001</v>
      </c>
      <c r="AH134">
        <f t="shared" si="51"/>
        <v>1</v>
      </c>
      <c r="AI134">
        <f t="shared" si="52"/>
        <v>1</v>
      </c>
      <c r="AJ134">
        <f t="shared" si="53"/>
        <v>0</v>
      </c>
    </row>
    <row r="135" spans="1:36" x14ac:dyDescent="0.25">
      <c r="A135" s="1">
        <v>45975.541666666664</v>
      </c>
      <c r="B135" s="2" t="s">
        <v>48</v>
      </c>
      <c r="C135">
        <v>6</v>
      </c>
      <c r="D135">
        <v>1</v>
      </c>
      <c r="E135">
        <v>2</v>
      </c>
      <c r="F135">
        <v>0</v>
      </c>
      <c r="G135">
        <v>0</v>
      </c>
      <c r="H135">
        <v>0</v>
      </c>
      <c r="I135">
        <v>0</v>
      </c>
      <c r="J135">
        <v>1</v>
      </c>
      <c r="K135">
        <f t="shared" si="36"/>
        <v>10</v>
      </c>
      <c r="L135">
        <f t="shared" si="37"/>
        <v>0.66669999999999996</v>
      </c>
      <c r="M135">
        <f t="shared" si="38"/>
        <v>0.77780000000000005</v>
      </c>
      <c r="N135">
        <f t="shared" si="39"/>
        <v>1</v>
      </c>
      <c r="O135">
        <f t="shared" si="40"/>
        <v>1</v>
      </c>
      <c r="P135">
        <f t="shared" si="41"/>
        <v>0.1</v>
      </c>
      <c r="Q135">
        <v>14</v>
      </c>
      <c r="R135">
        <v>2</v>
      </c>
      <c r="S135">
        <v>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f t="shared" si="42"/>
        <v>18</v>
      </c>
      <c r="Z135">
        <f t="shared" si="43"/>
        <v>28</v>
      </c>
      <c r="AA135">
        <f t="shared" si="44"/>
        <v>0.77780000000000005</v>
      </c>
      <c r="AB135">
        <f t="shared" si="45"/>
        <v>0.88890000000000002</v>
      </c>
      <c r="AC135">
        <f t="shared" si="46"/>
        <v>1</v>
      </c>
      <c r="AD135">
        <f t="shared" si="47"/>
        <v>1</v>
      </c>
      <c r="AE135">
        <f t="shared" si="48"/>
        <v>0</v>
      </c>
      <c r="AF135">
        <f t="shared" si="49"/>
        <v>0.74070000000000003</v>
      </c>
      <c r="AG135">
        <f t="shared" si="50"/>
        <v>0.85189999999999999</v>
      </c>
      <c r="AH135">
        <f t="shared" si="51"/>
        <v>1</v>
      </c>
      <c r="AI135">
        <f t="shared" si="52"/>
        <v>1</v>
      </c>
      <c r="AJ135">
        <f t="shared" si="53"/>
        <v>3.5700000000000003E-2</v>
      </c>
    </row>
    <row r="136" spans="1:36" x14ac:dyDescent="0.25">
      <c r="A136" s="1">
        <v>45975.583333333336</v>
      </c>
      <c r="B136" s="2" t="s">
        <v>49</v>
      </c>
      <c r="C136">
        <v>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3</v>
      </c>
      <c r="K136">
        <f t="shared" si="36"/>
        <v>11</v>
      </c>
      <c r="L136">
        <f t="shared" si="37"/>
        <v>1</v>
      </c>
      <c r="M136">
        <f t="shared" si="38"/>
        <v>1</v>
      </c>
      <c r="N136">
        <f t="shared" si="39"/>
        <v>1</v>
      </c>
      <c r="O136">
        <f t="shared" si="40"/>
        <v>1</v>
      </c>
      <c r="P136">
        <f t="shared" si="41"/>
        <v>0.2727</v>
      </c>
      <c r="Q136">
        <v>28</v>
      </c>
      <c r="R136">
        <v>10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f t="shared" si="42"/>
        <v>38</v>
      </c>
      <c r="Z136">
        <f t="shared" si="43"/>
        <v>49</v>
      </c>
      <c r="AA136">
        <f t="shared" si="44"/>
        <v>0.73680000000000001</v>
      </c>
      <c r="AB136">
        <f t="shared" si="45"/>
        <v>1</v>
      </c>
      <c r="AC136">
        <f t="shared" si="46"/>
        <v>1</v>
      </c>
      <c r="AD136">
        <f t="shared" si="47"/>
        <v>1</v>
      </c>
      <c r="AE136">
        <f t="shared" si="48"/>
        <v>0</v>
      </c>
      <c r="AF136">
        <f t="shared" si="49"/>
        <v>0.78259999999999996</v>
      </c>
      <c r="AG136">
        <f t="shared" si="50"/>
        <v>1</v>
      </c>
      <c r="AH136">
        <f t="shared" si="51"/>
        <v>1</v>
      </c>
      <c r="AI136">
        <f t="shared" si="52"/>
        <v>1</v>
      </c>
      <c r="AJ136">
        <f t="shared" si="53"/>
        <v>6.1199999999999997E-2</v>
      </c>
    </row>
    <row r="137" spans="1:36" x14ac:dyDescent="0.25">
      <c r="A137" s="1">
        <v>45975.625</v>
      </c>
      <c r="B137" s="2" t="s">
        <v>50</v>
      </c>
      <c r="C137">
        <v>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f t="shared" si="36"/>
        <v>9</v>
      </c>
      <c r="L137">
        <f t="shared" si="37"/>
        <v>1</v>
      </c>
      <c r="M137">
        <f t="shared" si="38"/>
        <v>1</v>
      </c>
      <c r="N137">
        <f t="shared" si="39"/>
        <v>1</v>
      </c>
      <c r="O137">
        <f t="shared" si="40"/>
        <v>1</v>
      </c>
      <c r="P137">
        <f t="shared" si="41"/>
        <v>0</v>
      </c>
      <c r="Q137">
        <v>28</v>
      </c>
      <c r="R137">
        <v>4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f t="shared" si="42"/>
        <v>33</v>
      </c>
      <c r="Z137">
        <f t="shared" si="43"/>
        <v>42</v>
      </c>
      <c r="AA137">
        <f t="shared" si="44"/>
        <v>0.84850000000000003</v>
      </c>
      <c r="AB137">
        <f t="shared" si="45"/>
        <v>0.96970000000000001</v>
      </c>
      <c r="AC137">
        <f t="shared" si="46"/>
        <v>0.96970000000000001</v>
      </c>
      <c r="AD137">
        <f t="shared" si="47"/>
        <v>1</v>
      </c>
      <c r="AE137">
        <f t="shared" si="48"/>
        <v>0</v>
      </c>
      <c r="AF137">
        <f t="shared" si="49"/>
        <v>0.88100000000000001</v>
      </c>
      <c r="AG137">
        <f t="shared" si="50"/>
        <v>0.97619999999999996</v>
      </c>
      <c r="AH137">
        <f t="shared" si="51"/>
        <v>0.97619999999999996</v>
      </c>
      <c r="AI137">
        <f t="shared" si="52"/>
        <v>1</v>
      </c>
      <c r="AJ137">
        <f t="shared" si="53"/>
        <v>0</v>
      </c>
    </row>
    <row r="138" spans="1:36" x14ac:dyDescent="0.25">
      <c r="A138" s="1">
        <v>45975.666666666664</v>
      </c>
      <c r="B138" s="2" t="s">
        <v>51</v>
      </c>
      <c r="C138">
        <v>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f t="shared" si="36"/>
        <v>7</v>
      </c>
      <c r="L138">
        <f t="shared" si="37"/>
        <v>1</v>
      </c>
      <c r="M138">
        <f t="shared" si="38"/>
        <v>1</v>
      </c>
      <c r="N138">
        <f t="shared" si="39"/>
        <v>1</v>
      </c>
      <c r="O138">
        <f t="shared" si="40"/>
        <v>1</v>
      </c>
      <c r="P138">
        <f t="shared" si="41"/>
        <v>0</v>
      </c>
      <c r="Q138">
        <v>14</v>
      </c>
      <c r="R138">
        <v>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f t="shared" si="42"/>
        <v>19</v>
      </c>
      <c r="Z138">
        <f t="shared" si="43"/>
        <v>26</v>
      </c>
      <c r="AA138">
        <f t="shared" si="44"/>
        <v>0.73680000000000001</v>
      </c>
      <c r="AB138">
        <f t="shared" si="45"/>
        <v>1</v>
      </c>
      <c r="AC138">
        <f t="shared" si="46"/>
        <v>1</v>
      </c>
      <c r="AD138">
        <f t="shared" si="47"/>
        <v>1</v>
      </c>
      <c r="AE138">
        <f t="shared" si="48"/>
        <v>0</v>
      </c>
      <c r="AF138">
        <f t="shared" si="49"/>
        <v>0.80769999999999997</v>
      </c>
      <c r="AG138">
        <f t="shared" si="50"/>
        <v>1</v>
      </c>
      <c r="AH138">
        <f t="shared" si="51"/>
        <v>1</v>
      </c>
      <c r="AI138">
        <f t="shared" si="52"/>
        <v>1</v>
      </c>
      <c r="AJ138">
        <f t="shared" si="53"/>
        <v>0</v>
      </c>
    </row>
    <row r="139" spans="1:36" x14ac:dyDescent="0.25">
      <c r="A139" s="1">
        <v>45975.708333333336</v>
      </c>
      <c r="B139" s="2" t="s">
        <v>52</v>
      </c>
      <c r="C139">
        <v>13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f t="shared" si="36"/>
        <v>13</v>
      </c>
      <c r="L139">
        <f t="shared" si="37"/>
        <v>1</v>
      </c>
      <c r="M139">
        <f t="shared" si="38"/>
        <v>1</v>
      </c>
      <c r="N139">
        <f t="shared" si="39"/>
        <v>1</v>
      </c>
      <c r="O139">
        <f t="shared" si="40"/>
        <v>1</v>
      </c>
      <c r="P139">
        <f t="shared" si="41"/>
        <v>0</v>
      </c>
      <c r="Q139">
        <v>21</v>
      </c>
      <c r="R139">
        <v>5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1</v>
      </c>
      <c r="Y139">
        <f t="shared" si="42"/>
        <v>29</v>
      </c>
      <c r="Z139">
        <f t="shared" si="43"/>
        <v>42</v>
      </c>
      <c r="AA139">
        <f t="shared" si="44"/>
        <v>0.75</v>
      </c>
      <c r="AB139">
        <f t="shared" si="45"/>
        <v>0.92859999999999998</v>
      </c>
      <c r="AC139">
        <f t="shared" si="46"/>
        <v>0.96430000000000005</v>
      </c>
      <c r="AD139">
        <f t="shared" si="47"/>
        <v>1</v>
      </c>
      <c r="AE139">
        <f t="shared" si="48"/>
        <v>3.4500000000000003E-2</v>
      </c>
      <c r="AF139">
        <f t="shared" si="49"/>
        <v>0.82930000000000004</v>
      </c>
      <c r="AG139">
        <f t="shared" si="50"/>
        <v>0.95120000000000005</v>
      </c>
      <c r="AH139">
        <f t="shared" si="51"/>
        <v>0.97560000000000002</v>
      </c>
      <c r="AI139">
        <f t="shared" si="52"/>
        <v>1</v>
      </c>
      <c r="AJ139">
        <f t="shared" si="53"/>
        <v>2.3800000000000002E-2</v>
      </c>
    </row>
    <row r="140" spans="1:36" x14ac:dyDescent="0.25">
      <c r="A140" s="1">
        <v>45975.75</v>
      </c>
      <c r="B140" s="2" t="s">
        <v>53</v>
      </c>
      <c r="C140">
        <v>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f t="shared" si="36"/>
        <v>8</v>
      </c>
      <c r="L140">
        <f t="shared" si="37"/>
        <v>1</v>
      </c>
      <c r="M140">
        <f t="shared" si="38"/>
        <v>1</v>
      </c>
      <c r="N140">
        <f t="shared" si="39"/>
        <v>1</v>
      </c>
      <c r="O140">
        <f t="shared" si="40"/>
        <v>1</v>
      </c>
      <c r="P140">
        <f t="shared" si="41"/>
        <v>0.125</v>
      </c>
      <c r="Q140">
        <v>16</v>
      </c>
      <c r="R140">
        <v>4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f t="shared" si="42"/>
        <v>20</v>
      </c>
      <c r="Z140">
        <f t="shared" si="43"/>
        <v>28</v>
      </c>
      <c r="AA140">
        <f t="shared" si="44"/>
        <v>0.8</v>
      </c>
      <c r="AB140">
        <f t="shared" si="45"/>
        <v>1</v>
      </c>
      <c r="AC140">
        <f t="shared" si="46"/>
        <v>1</v>
      </c>
      <c r="AD140">
        <f t="shared" si="47"/>
        <v>1</v>
      </c>
      <c r="AE140">
        <f t="shared" si="48"/>
        <v>0</v>
      </c>
      <c r="AF140">
        <f t="shared" si="49"/>
        <v>0.85189999999999999</v>
      </c>
      <c r="AG140">
        <f t="shared" si="50"/>
        <v>1</v>
      </c>
      <c r="AH140">
        <f t="shared" si="51"/>
        <v>1</v>
      </c>
      <c r="AI140">
        <f t="shared" si="52"/>
        <v>1</v>
      </c>
      <c r="AJ140">
        <f t="shared" si="53"/>
        <v>3.5700000000000003E-2</v>
      </c>
    </row>
    <row r="141" spans="1:36" x14ac:dyDescent="0.25">
      <c r="A141" s="1">
        <v>45975.791666666664</v>
      </c>
      <c r="B141" s="2" t="s">
        <v>54</v>
      </c>
      <c r="C141">
        <v>13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f t="shared" si="36"/>
        <v>14</v>
      </c>
      <c r="L141">
        <f t="shared" si="37"/>
        <v>1</v>
      </c>
      <c r="M141">
        <f t="shared" si="38"/>
        <v>1</v>
      </c>
      <c r="N141">
        <f t="shared" si="39"/>
        <v>1</v>
      </c>
      <c r="O141">
        <f t="shared" si="40"/>
        <v>1</v>
      </c>
      <c r="P141">
        <f t="shared" si="41"/>
        <v>7.1400000000000005E-2</v>
      </c>
      <c r="Q141">
        <v>12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f t="shared" si="42"/>
        <v>13</v>
      </c>
      <c r="Z141">
        <f t="shared" si="43"/>
        <v>27</v>
      </c>
      <c r="AA141">
        <f t="shared" si="44"/>
        <v>0.92310000000000003</v>
      </c>
      <c r="AB141">
        <f t="shared" si="45"/>
        <v>1</v>
      </c>
      <c r="AC141">
        <f t="shared" si="46"/>
        <v>1</v>
      </c>
      <c r="AD141">
        <f t="shared" si="47"/>
        <v>1</v>
      </c>
      <c r="AE141">
        <f t="shared" si="48"/>
        <v>0</v>
      </c>
      <c r="AF141">
        <f t="shared" si="49"/>
        <v>0.96150000000000002</v>
      </c>
      <c r="AG141">
        <f t="shared" si="50"/>
        <v>1</v>
      </c>
      <c r="AH141">
        <f t="shared" si="51"/>
        <v>1</v>
      </c>
      <c r="AI141">
        <f t="shared" si="52"/>
        <v>1</v>
      </c>
      <c r="AJ141">
        <f t="shared" si="53"/>
        <v>3.6999999999999998E-2</v>
      </c>
    </row>
    <row r="142" spans="1:36" x14ac:dyDescent="0.25">
      <c r="A142" s="1">
        <v>45975.833333333336</v>
      </c>
      <c r="B142" s="2" t="s">
        <v>55</v>
      </c>
      <c r="C142">
        <v>10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f t="shared" si="36"/>
        <v>11</v>
      </c>
      <c r="L142">
        <f t="shared" si="37"/>
        <v>1</v>
      </c>
      <c r="M142">
        <f t="shared" si="38"/>
        <v>1</v>
      </c>
      <c r="N142">
        <f t="shared" si="39"/>
        <v>1</v>
      </c>
      <c r="O142">
        <f t="shared" si="40"/>
        <v>1</v>
      </c>
      <c r="P142">
        <f t="shared" si="41"/>
        <v>9.0899999999999995E-2</v>
      </c>
      <c r="Q142">
        <v>15</v>
      </c>
      <c r="R142">
        <v>0</v>
      </c>
      <c r="S142">
        <v>0</v>
      </c>
      <c r="T142">
        <v>1</v>
      </c>
      <c r="U142">
        <v>0</v>
      </c>
      <c r="V142">
        <v>1</v>
      </c>
      <c r="W142">
        <v>0</v>
      </c>
      <c r="X142">
        <v>0</v>
      </c>
      <c r="Y142">
        <f t="shared" si="42"/>
        <v>17</v>
      </c>
      <c r="Z142">
        <f t="shared" si="43"/>
        <v>28</v>
      </c>
      <c r="AA142">
        <f t="shared" si="44"/>
        <v>0.88239999999999996</v>
      </c>
      <c r="AB142">
        <f t="shared" si="45"/>
        <v>0.88239999999999996</v>
      </c>
      <c r="AC142">
        <f t="shared" si="46"/>
        <v>0.88239999999999996</v>
      </c>
      <c r="AD142">
        <f t="shared" si="47"/>
        <v>0.94120000000000004</v>
      </c>
      <c r="AE142">
        <f t="shared" si="48"/>
        <v>0</v>
      </c>
      <c r="AF142">
        <f t="shared" si="49"/>
        <v>0.92589999999999995</v>
      </c>
      <c r="AG142">
        <f t="shared" si="50"/>
        <v>0.92589999999999995</v>
      </c>
      <c r="AH142">
        <f t="shared" si="51"/>
        <v>0.92589999999999995</v>
      </c>
      <c r="AI142">
        <f t="shared" si="52"/>
        <v>0.96299999999999997</v>
      </c>
      <c r="AJ142">
        <f t="shared" si="53"/>
        <v>3.5700000000000003E-2</v>
      </c>
    </row>
    <row r="143" spans="1:36" x14ac:dyDescent="0.25">
      <c r="A143" s="1">
        <v>45975.875</v>
      </c>
      <c r="B143" s="2" t="s">
        <v>56</v>
      </c>
      <c r="C143">
        <v>10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f t="shared" si="36"/>
        <v>11</v>
      </c>
      <c r="L143">
        <f t="shared" si="37"/>
        <v>1</v>
      </c>
      <c r="M143">
        <f t="shared" si="38"/>
        <v>1</v>
      </c>
      <c r="N143">
        <f t="shared" si="39"/>
        <v>1</v>
      </c>
      <c r="O143">
        <f t="shared" si="40"/>
        <v>1</v>
      </c>
      <c r="P143">
        <f t="shared" si="41"/>
        <v>9.0899999999999995E-2</v>
      </c>
      <c r="Q143">
        <v>16</v>
      </c>
      <c r="R143">
        <v>0</v>
      </c>
      <c r="S143">
        <v>0</v>
      </c>
      <c r="T143">
        <v>1</v>
      </c>
      <c r="U143">
        <v>1</v>
      </c>
      <c r="V143">
        <v>0</v>
      </c>
      <c r="W143">
        <v>0</v>
      </c>
      <c r="X143">
        <v>0</v>
      </c>
      <c r="Y143">
        <f t="shared" si="42"/>
        <v>18</v>
      </c>
      <c r="Z143">
        <f t="shared" si="43"/>
        <v>29</v>
      </c>
      <c r="AA143">
        <f t="shared" si="44"/>
        <v>0.88890000000000002</v>
      </c>
      <c r="AB143">
        <f t="shared" si="45"/>
        <v>0.88890000000000002</v>
      </c>
      <c r="AC143">
        <f t="shared" si="46"/>
        <v>0.88890000000000002</v>
      </c>
      <c r="AD143">
        <f t="shared" si="47"/>
        <v>0.94440000000000002</v>
      </c>
      <c r="AE143">
        <f t="shared" si="48"/>
        <v>0</v>
      </c>
      <c r="AF143">
        <f t="shared" si="49"/>
        <v>0.92859999999999998</v>
      </c>
      <c r="AG143">
        <f t="shared" si="50"/>
        <v>0.92859999999999998</v>
      </c>
      <c r="AH143">
        <f t="shared" si="51"/>
        <v>0.92859999999999998</v>
      </c>
      <c r="AI143">
        <f t="shared" si="52"/>
        <v>0.96430000000000005</v>
      </c>
      <c r="AJ143">
        <f t="shared" si="53"/>
        <v>3.4500000000000003E-2</v>
      </c>
    </row>
    <row r="144" spans="1:36" x14ac:dyDescent="0.25">
      <c r="A144" s="1">
        <v>45975.916666666664</v>
      </c>
      <c r="B144" s="2" t="s">
        <v>57</v>
      </c>
      <c r="C144">
        <v>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3</v>
      </c>
      <c r="K144">
        <f t="shared" si="36"/>
        <v>5</v>
      </c>
      <c r="L144">
        <f t="shared" si="37"/>
        <v>1</v>
      </c>
      <c r="M144">
        <f t="shared" si="38"/>
        <v>1</v>
      </c>
      <c r="N144">
        <f t="shared" si="39"/>
        <v>1</v>
      </c>
      <c r="O144">
        <f t="shared" si="40"/>
        <v>1</v>
      </c>
      <c r="P144">
        <f t="shared" si="41"/>
        <v>0.6</v>
      </c>
      <c r="Q144">
        <v>19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f t="shared" si="42"/>
        <v>19</v>
      </c>
      <c r="Z144">
        <f t="shared" si="43"/>
        <v>24</v>
      </c>
      <c r="AA144">
        <f t="shared" si="44"/>
        <v>1</v>
      </c>
      <c r="AB144">
        <f t="shared" si="45"/>
        <v>1</v>
      </c>
      <c r="AC144">
        <f t="shared" si="46"/>
        <v>1</v>
      </c>
      <c r="AD144">
        <f t="shared" si="47"/>
        <v>1</v>
      </c>
      <c r="AE144">
        <f t="shared" si="48"/>
        <v>0</v>
      </c>
      <c r="AF144">
        <f t="shared" si="49"/>
        <v>1</v>
      </c>
      <c r="AG144">
        <f t="shared" si="50"/>
        <v>1</v>
      </c>
      <c r="AH144">
        <f t="shared" si="51"/>
        <v>1</v>
      </c>
      <c r="AI144">
        <f t="shared" si="52"/>
        <v>1</v>
      </c>
      <c r="AJ144">
        <f t="shared" si="53"/>
        <v>0.125</v>
      </c>
    </row>
    <row r="145" spans="1:36" x14ac:dyDescent="0.25">
      <c r="A145" s="1">
        <v>45975.958333333336</v>
      </c>
      <c r="B145" s="2" t="s">
        <v>58</v>
      </c>
      <c r="C145">
        <v>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f t="shared" si="36"/>
        <v>6</v>
      </c>
      <c r="L145">
        <f t="shared" si="37"/>
        <v>1</v>
      </c>
      <c r="M145">
        <f t="shared" si="38"/>
        <v>1</v>
      </c>
      <c r="N145">
        <f t="shared" si="39"/>
        <v>1</v>
      </c>
      <c r="O145">
        <f t="shared" si="40"/>
        <v>1</v>
      </c>
      <c r="P145">
        <f t="shared" si="41"/>
        <v>0.16669999999999999</v>
      </c>
      <c r="Q145">
        <v>16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f t="shared" si="42"/>
        <v>16</v>
      </c>
      <c r="Z145">
        <f t="shared" si="43"/>
        <v>22</v>
      </c>
      <c r="AA145">
        <f t="shared" si="44"/>
        <v>1</v>
      </c>
      <c r="AB145">
        <f t="shared" si="45"/>
        <v>1</v>
      </c>
      <c r="AC145">
        <f t="shared" si="46"/>
        <v>1</v>
      </c>
      <c r="AD145">
        <f t="shared" si="47"/>
        <v>1</v>
      </c>
      <c r="AE145">
        <f t="shared" si="48"/>
        <v>0</v>
      </c>
      <c r="AF145">
        <f t="shared" si="49"/>
        <v>1</v>
      </c>
      <c r="AG145">
        <f t="shared" si="50"/>
        <v>1</v>
      </c>
      <c r="AH145">
        <f t="shared" si="51"/>
        <v>1</v>
      </c>
      <c r="AI145">
        <f t="shared" si="52"/>
        <v>1</v>
      </c>
      <c r="AJ145">
        <f t="shared" si="53"/>
        <v>4.5499999999999999E-2</v>
      </c>
    </row>
    <row r="146" spans="1:36" x14ac:dyDescent="0.25">
      <c r="A146" s="1">
        <v>45976</v>
      </c>
      <c r="B146" s="2" t="s">
        <v>35</v>
      </c>
      <c r="C146">
        <v>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f t="shared" si="36"/>
        <v>8</v>
      </c>
      <c r="L146">
        <f t="shared" si="37"/>
        <v>1</v>
      </c>
      <c r="M146">
        <f t="shared" si="38"/>
        <v>1</v>
      </c>
      <c r="N146">
        <f t="shared" si="39"/>
        <v>1</v>
      </c>
      <c r="O146">
        <f t="shared" si="40"/>
        <v>1</v>
      </c>
      <c r="P146">
        <f t="shared" si="41"/>
        <v>0</v>
      </c>
      <c r="Q146">
        <v>14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f t="shared" si="42"/>
        <v>15</v>
      </c>
      <c r="Z146">
        <f t="shared" si="43"/>
        <v>23</v>
      </c>
      <c r="AA146">
        <f t="shared" si="44"/>
        <v>0.93330000000000002</v>
      </c>
      <c r="AB146">
        <f t="shared" si="45"/>
        <v>1</v>
      </c>
      <c r="AC146">
        <f t="shared" si="46"/>
        <v>1</v>
      </c>
      <c r="AD146">
        <f t="shared" si="47"/>
        <v>1</v>
      </c>
      <c r="AE146">
        <f t="shared" si="48"/>
        <v>0</v>
      </c>
      <c r="AF146">
        <f t="shared" si="49"/>
        <v>0.95650000000000002</v>
      </c>
      <c r="AG146">
        <f t="shared" si="50"/>
        <v>1</v>
      </c>
      <c r="AH146">
        <f t="shared" si="51"/>
        <v>1</v>
      </c>
      <c r="AI146">
        <f t="shared" si="52"/>
        <v>1</v>
      </c>
      <c r="AJ146">
        <f t="shared" si="53"/>
        <v>0</v>
      </c>
    </row>
    <row r="147" spans="1:36" x14ac:dyDescent="0.25">
      <c r="A147" s="1">
        <v>45976.041666666664</v>
      </c>
      <c r="B147" s="2" t="s">
        <v>36</v>
      </c>
      <c r="C147">
        <v>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f t="shared" si="36"/>
        <v>6</v>
      </c>
      <c r="L147">
        <f t="shared" si="37"/>
        <v>1</v>
      </c>
      <c r="M147">
        <f t="shared" si="38"/>
        <v>1</v>
      </c>
      <c r="N147">
        <f t="shared" si="39"/>
        <v>1</v>
      </c>
      <c r="O147">
        <f t="shared" si="40"/>
        <v>1</v>
      </c>
      <c r="P147">
        <f t="shared" si="41"/>
        <v>0.16669999999999999</v>
      </c>
      <c r="Q147">
        <v>4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f t="shared" si="42"/>
        <v>4</v>
      </c>
      <c r="Z147">
        <f t="shared" si="43"/>
        <v>10</v>
      </c>
      <c r="AA147">
        <f t="shared" si="44"/>
        <v>1</v>
      </c>
      <c r="AB147">
        <f t="shared" si="45"/>
        <v>1</v>
      </c>
      <c r="AC147">
        <f t="shared" si="46"/>
        <v>1</v>
      </c>
      <c r="AD147">
        <f t="shared" si="47"/>
        <v>1</v>
      </c>
      <c r="AE147">
        <f t="shared" si="48"/>
        <v>0</v>
      </c>
      <c r="AF147">
        <f t="shared" si="49"/>
        <v>1</v>
      </c>
      <c r="AG147">
        <f t="shared" si="50"/>
        <v>1</v>
      </c>
      <c r="AH147">
        <f t="shared" si="51"/>
        <v>1</v>
      </c>
      <c r="AI147">
        <f t="shared" si="52"/>
        <v>1</v>
      </c>
      <c r="AJ147">
        <f t="shared" si="53"/>
        <v>0.1</v>
      </c>
    </row>
    <row r="148" spans="1:36" x14ac:dyDescent="0.25">
      <c r="A148" s="1">
        <v>45976.083333333336</v>
      </c>
      <c r="B148" s="2" t="s">
        <v>37</v>
      </c>
      <c r="C148">
        <v>4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2</v>
      </c>
      <c r="K148">
        <f t="shared" si="36"/>
        <v>7</v>
      </c>
      <c r="L148">
        <f t="shared" si="37"/>
        <v>0.8</v>
      </c>
      <c r="M148">
        <f t="shared" si="38"/>
        <v>1</v>
      </c>
      <c r="N148">
        <f t="shared" si="39"/>
        <v>1</v>
      </c>
      <c r="O148">
        <f t="shared" si="40"/>
        <v>1</v>
      </c>
      <c r="P148">
        <f t="shared" si="41"/>
        <v>0.28570000000000001</v>
      </c>
      <c r="Q148">
        <v>13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f t="shared" si="42"/>
        <v>13</v>
      </c>
      <c r="Z148">
        <f t="shared" si="43"/>
        <v>20</v>
      </c>
      <c r="AA148">
        <f t="shared" si="44"/>
        <v>1</v>
      </c>
      <c r="AB148">
        <f t="shared" si="45"/>
        <v>1</v>
      </c>
      <c r="AC148">
        <f t="shared" si="46"/>
        <v>1</v>
      </c>
      <c r="AD148">
        <f t="shared" si="47"/>
        <v>1</v>
      </c>
      <c r="AE148">
        <f t="shared" si="48"/>
        <v>0</v>
      </c>
      <c r="AF148">
        <f t="shared" si="49"/>
        <v>0.94440000000000002</v>
      </c>
      <c r="AG148">
        <f t="shared" si="50"/>
        <v>1</v>
      </c>
      <c r="AH148">
        <f t="shared" si="51"/>
        <v>1</v>
      </c>
      <c r="AI148">
        <f t="shared" si="52"/>
        <v>1</v>
      </c>
      <c r="AJ148">
        <f t="shared" si="53"/>
        <v>0.1</v>
      </c>
    </row>
    <row r="149" spans="1:36" x14ac:dyDescent="0.25">
      <c r="A149" s="1">
        <v>45976.125</v>
      </c>
      <c r="B149" s="2" t="s">
        <v>38</v>
      </c>
      <c r="C149">
        <v>5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f t="shared" si="36"/>
        <v>6</v>
      </c>
      <c r="L149">
        <f t="shared" si="37"/>
        <v>0.83330000000000004</v>
      </c>
      <c r="M149">
        <f t="shared" si="38"/>
        <v>1</v>
      </c>
      <c r="N149">
        <f t="shared" si="39"/>
        <v>1</v>
      </c>
      <c r="O149">
        <f t="shared" si="40"/>
        <v>1</v>
      </c>
      <c r="P149">
        <f t="shared" si="41"/>
        <v>0</v>
      </c>
      <c r="Q149">
        <v>16</v>
      </c>
      <c r="R149">
        <v>1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f t="shared" si="42"/>
        <v>18</v>
      </c>
      <c r="Z149">
        <f t="shared" si="43"/>
        <v>24</v>
      </c>
      <c r="AA149">
        <f t="shared" si="44"/>
        <v>0.88890000000000002</v>
      </c>
      <c r="AB149">
        <f t="shared" si="45"/>
        <v>0.94440000000000002</v>
      </c>
      <c r="AC149">
        <f t="shared" si="46"/>
        <v>0.94440000000000002</v>
      </c>
      <c r="AD149">
        <f t="shared" si="47"/>
        <v>1</v>
      </c>
      <c r="AE149">
        <f t="shared" si="48"/>
        <v>0</v>
      </c>
      <c r="AF149">
        <f t="shared" si="49"/>
        <v>0.875</v>
      </c>
      <c r="AG149">
        <f t="shared" si="50"/>
        <v>0.95830000000000004</v>
      </c>
      <c r="AH149">
        <f t="shared" si="51"/>
        <v>0.95830000000000004</v>
      </c>
      <c r="AI149">
        <f t="shared" si="52"/>
        <v>1</v>
      </c>
      <c r="AJ149">
        <f t="shared" si="53"/>
        <v>0</v>
      </c>
    </row>
    <row r="150" spans="1:36" x14ac:dyDescent="0.25">
      <c r="A150" s="1">
        <v>45976.166666666664</v>
      </c>
      <c r="B150" s="2" t="s">
        <v>39</v>
      </c>
      <c r="C150">
        <v>4</v>
      </c>
      <c r="D150">
        <v>1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f t="shared" si="36"/>
        <v>6</v>
      </c>
      <c r="L150">
        <f t="shared" si="37"/>
        <v>0.66669999999999996</v>
      </c>
      <c r="M150">
        <f t="shared" si="38"/>
        <v>0.83330000000000004</v>
      </c>
      <c r="N150">
        <f t="shared" si="39"/>
        <v>0.83330000000000004</v>
      </c>
      <c r="O150">
        <f t="shared" si="40"/>
        <v>0.83330000000000004</v>
      </c>
      <c r="P150">
        <f t="shared" si="41"/>
        <v>0</v>
      </c>
      <c r="Q150">
        <v>10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f t="shared" si="42"/>
        <v>11</v>
      </c>
      <c r="Z150">
        <f t="shared" si="43"/>
        <v>17</v>
      </c>
      <c r="AA150">
        <f t="shared" si="44"/>
        <v>1</v>
      </c>
      <c r="AB150">
        <f t="shared" si="45"/>
        <v>1</v>
      </c>
      <c r="AC150">
        <f t="shared" si="46"/>
        <v>1</v>
      </c>
      <c r="AD150">
        <f t="shared" si="47"/>
        <v>1</v>
      </c>
      <c r="AE150">
        <f t="shared" si="48"/>
        <v>9.0899999999999995E-2</v>
      </c>
      <c r="AF150">
        <f t="shared" si="49"/>
        <v>0.875</v>
      </c>
      <c r="AG150">
        <f t="shared" si="50"/>
        <v>0.9375</v>
      </c>
      <c r="AH150">
        <f t="shared" si="51"/>
        <v>0.9375</v>
      </c>
      <c r="AI150">
        <f t="shared" si="52"/>
        <v>0.9375</v>
      </c>
      <c r="AJ150">
        <f t="shared" si="53"/>
        <v>5.8799999999999998E-2</v>
      </c>
    </row>
    <row r="151" spans="1:36" x14ac:dyDescent="0.25">
      <c r="A151" s="1">
        <v>45976.208333333336</v>
      </c>
      <c r="B151" s="2" t="s">
        <v>40</v>
      </c>
      <c r="C151">
        <v>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f t="shared" si="36"/>
        <v>2</v>
      </c>
      <c r="L151">
        <f t="shared" si="37"/>
        <v>1</v>
      </c>
      <c r="M151">
        <f t="shared" si="38"/>
        <v>1</v>
      </c>
      <c r="N151">
        <f t="shared" si="39"/>
        <v>1</v>
      </c>
      <c r="O151">
        <f t="shared" si="40"/>
        <v>1</v>
      </c>
      <c r="P151">
        <f t="shared" si="41"/>
        <v>0</v>
      </c>
      <c r="Q151">
        <v>7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f t="shared" si="42"/>
        <v>7</v>
      </c>
      <c r="Z151">
        <f t="shared" si="43"/>
        <v>9</v>
      </c>
      <c r="AA151">
        <f t="shared" si="44"/>
        <v>1</v>
      </c>
      <c r="AB151">
        <f t="shared" si="45"/>
        <v>1</v>
      </c>
      <c r="AC151">
        <f t="shared" si="46"/>
        <v>1</v>
      </c>
      <c r="AD151">
        <f t="shared" si="47"/>
        <v>1</v>
      </c>
      <c r="AE151">
        <f t="shared" si="48"/>
        <v>0</v>
      </c>
      <c r="AF151">
        <f t="shared" si="49"/>
        <v>1</v>
      </c>
      <c r="AG151">
        <f t="shared" si="50"/>
        <v>1</v>
      </c>
      <c r="AH151">
        <f t="shared" si="51"/>
        <v>1</v>
      </c>
      <c r="AI151">
        <f t="shared" si="52"/>
        <v>1</v>
      </c>
      <c r="AJ151">
        <f t="shared" si="53"/>
        <v>0</v>
      </c>
    </row>
    <row r="152" spans="1:36" x14ac:dyDescent="0.25">
      <c r="A152" s="1">
        <v>45976.25</v>
      </c>
      <c r="B152" s="2" t="s">
        <v>41</v>
      </c>
      <c r="C152">
        <v>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f t="shared" si="36"/>
        <v>5</v>
      </c>
      <c r="L152">
        <f t="shared" si="37"/>
        <v>1</v>
      </c>
      <c r="M152">
        <f t="shared" si="38"/>
        <v>1</v>
      </c>
      <c r="N152">
        <f t="shared" si="39"/>
        <v>1</v>
      </c>
      <c r="O152">
        <f t="shared" si="40"/>
        <v>1</v>
      </c>
      <c r="P152">
        <f t="shared" si="41"/>
        <v>0.2</v>
      </c>
      <c r="Q152">
        <v>5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f t="shared" si="42"/>
        <v>5</v>
      </c>
      <c r="Z152">
        <f t="shared" si="43"/>
        <v>10</v>
      </c>
      <c r="AA152">
        <f t="shared" si="44"/>
        <v>1</v>
      </c>
      <c r="AB152">
        <f t="shared" si="45"/>
        <v>1</v>
      </c>
      <c r="AC152">
        <f t="shared" si="46"/>
        <v>1</v>
      </c>
      <c r="AD152">
        <f t="shared" si="47"/>
        <v>1</v>
      </c>
      <c r="AE152">
        <f t="shared" si="48"/>
        <v>0</v>
      </c>
      <c r="AF152">
        <f t="shared" si="49"/>
        <v>1</v>
      </c>
      <c r="AG152">
        <f t="shared" si="50"/>
        <v>1</v>
      </c>
      <c r="AH152">
        <f t="shared" si="51"/>
        <v>1</v>
      </c>
      <c r="AI152">
        <f t="shared" si="52"/>
        <v>1</v>
      </c>
      <c r="AJ152">
        <f t="shared" si="53"/>
        <v>0.1</v>
      </c>
    </row>
    <row r="153" spans="1:36" x14ac:dyDescent="0.25">
      <c r="A153" s="1">
        <v>45976.291666666664</v>
      </c>
      <c r="B153" s="2" t="s">
        <v>42</v>
      </c>
      <c r="C153">
        <v>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3</v>
      </c>
      <c r="K153">
        <f t="shared" si="36"/>
        <v>8</v>
      </c>
      <c r="L153">
        <f t="shared" si="37"/>
        <v>1</v>
      </c>
      <c r="M153">
        <f t="shared" si="38"/>
        <v>1</v>
      </c>
      <c r="N153">
        <f t="shared" si="39"/>
        <v>1</v>
      </c>
      <c r="O153">
        <f t="shared" si="40"/>
        <v>1</v>
      </c>
      <c r="P153">
        <f t="shared" si="41"/>
        <v>0.375</v>
      </c>
      <c r="Q153">
        <v>13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f t="shared" si="42"/>
        <v>14</v>
      </c>
      <c r="Z153">
        <f t="shared" si="43"/>
        <v>22</v>
      </c>
      <c r="AA153">
        <f t="shared" si="44"/>
        <v>0.92859999999999998</v>
      </c>
      <c r="AB153">
        <f t="shared" si="45"/>
        <v>1</v>
      </c>
      <c r="AC153">
        <f t="shared" si="46"/>
        <v>1</v>
      </c>
      <c r="AD153">
        <f t="shared" si="47"/>
        <v>1</v>
      </c>
      <c r="AE153">
        <f t="shared" si="48"/>
        <v>0</v>
      </c>
      <c r="AF153">
        <f t="shared" si="49"/>
        <v>0.94740000000000002</v>
      </c>
      <c r="AG153">
        <f t="shared" si="50"/>
        <v>1</v>
      </c>
      <c r="AH153">
        <f t="shared" si="51"/>
        <v>1</v>
      </c>
      <c r="AI153">
        <f t="shared" si="52"/>
        <v>1</v>
      </c>
      <c r="AJ153">
        <f t="shared" si="53"/>
        <v>0.13639999999999999</v>
      </c>
    </row>
    <row r="154" spans="1:36" x14ac:dyDescent="0.25">
      <c r="A154" s="1">
        <v>45976.333333333336</v>
      </c>
      <c r="B154" s="2" t="s">
        <v>43</v>
      </c>
      <c r="C154">
        <v>3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f t="shared" si="36"/>
        <v>5</v>
      </c>
      <c r="L154">
        <f t="shared" si="37"/>
        <v>0.75</v>
      </c>
      <c r="M154">
        <f t="shared" si="38"/>
        <v>1</v>
      </c>
      <c r="N154">
        <f t="shared" si="39"/>
        <v>1</v>
      </c>
      <c r="O154">
        <f t="shared" si="40"/>
        <v>1</v>
      </c>
      <c r="P154">
        <f t="shared" si="41"/>
        <v>0.2</v>
      </c>
      <c r="Q154">
        <v>14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f t="shared" si="42"/>
        <v>15</v>
      </c>
      <c r="Z154">
        <f t="shared" si="43"/>
        <v>20</v>
      </c>
      <c r="AA154">
        <f t="shared" si="44"/>
        <v>0.93330000000000002</v>
      </c>
      <c r="AB154">
        <f t="shared" si="45"/>
        <v>1</v>
      </c>
      <c r="AC154">
        <f t="shared" si="46"/>
        <v>1</v>
      </c>
      <c r="AD154">
        <f t="shared" si="47"/>
        <v>1</v>
      </c>
      <c r="AE154">
        <f t="shared" si="48"/>
        <v>0</v>
      </c>
      <c r="AF154">
        <f t="shared" si="49"/>
        <v>0.89470000000000005</v>
      </c>
      <c r="AG154">
        <f t="shared" si="50"/>
        <v>1</v>
      </c>
      <c r="AH154">
        <f t="shared" si="51"/>
        <v>1</v>
      </c>
      <c r="AI154">
        <f t="shared" si="52"/>
        <v>1</v>
      </c>
      <c r="AJ154">
        <f t="shared" si="53"/>
        <v>0.05</v>
      </c>
    </row>
    <row r="155" spans="1:36" x14ac:dyDescent="0.25">
      <c r="A155" s="1">
        <v>45976.375</v>
      </c>
      <c r="B155" s="2" t="s">
        <v>44</v>
      </c>
      <c r="C155">
        <v>8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f t="shared" si="36"/>
        <v>8</v>
      </c>
      <c r="L155">
        <f t="shared" si="37"/>
        <v>1</v>
      </c>
      <c r="M155">
        <f t="shared" si="38"/>
        <v>1</v>
      </c>
      <c r="N155">
        <f t="shared" si="39"/>
        <v>1</v>
      </c>
      <c r="O155">
        <f t="shared" si="40"/>
        <v>1</v>
      </c>
      <c r="P155">
        <f t="shared" si="41"/>
        <v>0</v>
      </c>
      <c r="Q155">
        <v>19</v>
      </c>
      <c r="R155">
        <v>3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f t="shared" si="42"/>
        <v>22</v>
      </c>
      <c r="Z155">
        <f t="shared" si="43"/>
        <v>30</v>
      </c>
      <c r="AA155">
        <f t="shared" si="44"/>
        <v>0.86360000000000003</v>
      </c>
      <c r="AB155">
        <f t="shared" si="45"/>
        <v>1</v>
      </c>
      <c r="AC155">
        <f t="shared" si="46"/>
        <v>1</v>
      </c>
      <c r="AD155">
        <f t="shared" si="47"/>
        <v>1</v>
      </c>
      <c r="AE155">
        <f t="shared" si="48"/>
        <v>0</v>
      </c>
      <c r="AF155">
        <f t="shared" si="49"/>
        <v>0.9</v>
      </c>
      <c r="AG155">
        <f t="shared" si="50"/>
        <v>1</v>
      </c>
      <c r="AH155">
        <f t="shared" si="51"/>
        <v>1</v>
      </c>
      <c r="AI155">
        <f t="shared" si="52"/>
        <v>1</v>
      </c>
      <c r="AJ155">
        <f t="shared" si="53"/>
        <v>0</v>
      </c>
    </row>
    <row r="156" spans="1:36" x14ac:dyDescent="0.25">
      <c r="A156" s="1">
        <v>45976.416666666664</v>
      </c>
      <c r="B156" s="2" t="s">
        <v>45</v>
      </c>
      <c r="C156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f t="shared" si="36"/>
        <v>10</v>
      </c>
      <c r="L156">
        <f t="shared" si="37"/>
        <v>1</v>
      </c>
      <c r="M156">
        <f t="shared" si="38"/>
        <v>1</v>
      </c>
      <c r="N156">
        <f t="shared" si="39"/>
        <v>1</v>
      </c>
      <c r="O156">
        <f t="shared" si="40"/>
        <v>1</v>
      </c>
      <c r="P156">
        <f t="shared" si="41"/>
        <v>0</v>
      </c>
      <c r="Q156">
        <v>11</v>
      </c>
      <c r="R156">
        <v>6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f t="shared" si="42"/>
        <v>17</v>
      </c>
      <c r="Z156">
        <f t="shared" si="43"/>
        <v>27</v>
      </c>
      <c r="AA156">
        <f t="shared" si="44"/>
        <v>0.64710000000000001</v>
      </c>
      <c r="AB156">
        <f t="shared" si="45"/>
        <v>1</v>
      </c>
      <c r="AC156">
        <f t="shared" si="46"/>
        <v>1</v>
      </c>
      <c r="AD156">
        <f t="shared" si="47"/>
        <v>1</v>
      </c>
      <c r="AE156">
        <f t="shared" si="48"/>
        <v>0</v>
      </c>
      <c r="AF156">
        <f t="shared" si="49"/>
        <v>0.77780000000000005</v>
      </c>
      <c r="AG156">
        <f t="shared" si="50"/>
        <v>1</v>
      </c>
      <c r="AH156">
        <f t="shared" si="51"/>
        <v>1</v>
      </c>
      <c r="AI156">
        <f t="shared" si="52"/>
        <v>1</v>
      </c>
      <c r="AJ156">
        <f t="shared" si="53"/>
        <v>0</v>
      </c>
    </row>
    <row r="157" spans="1:36" x14ac:dyDescent="0.25">
      <c r="A157" s="1">
        <v>45976.458333333336</v>
      </c>
      <c r="B157" s="2" t="s">
        <v>46</v>
      </c>
      <c r="C157">
        <v>9</v>
      </c>
      <c r="D157">
        <v>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f t="shared" si="36"/>
        <v>12</v>
      </c>
      <c r="L157">
        <f t="shared" si="37"/>
        <v>0.75</v>
      </c>
      <c r="M157">
        <f t="shared" si="38"/>
        <v>1</v>
      </c>
      <c r="N157">
        <f t="shared" si="39"/>
        <v>1</v>
      </c>
      <c r="O157">
        <f t="shared" si="40"/>
        <v>1</v>
      </c>
      <c r="P157">
        <f t="shared" si="41"/>
        <v>0</v>
      </c>
      <c r="Q157">
        <v>19</v>
      </c>
      <c r="R157">
        <v>4</v>
      </c>
      <c r="S157">
        <v>2</v>
      </c>
      <c r="T157">
        <v>1</v>
      </c>
      <c r="U157">
        <v>0</v>
      </c>
      <c r="V157">
        <v>0</v>
      </c>
      <c r="W157">
        <v>0</v>
      </c>
      <c r="X157">
        <v>1</v>
      </c>
      <c r="Y157">
        <f t="shared" si="42"/>
        <v>27</v>
      </c>
      <c r="Z157">
        <f t="shared" si="43"/>
        <v>39</v>
      </c>
      <c r="AA157">
        <f t="shared" si="44"/>
        <v>0.73080000000000001</v>
      </c>
      <c r="AB157">
        <f t="shared" si="45"/>
        <v>0.88460000000000005</v>
      </c>
      <c r="AC157">
        <f t="shared" si="46"/>
        <v>0.96150000000000002</v>
      </c>
      <c r="AD157">
        <f t="shared" si="47"/>
        <v>1</v>
      </c>
      <c r="AE157">
        <f t="shared" si="48"/>
        <v>3.6999999999999998E-2</v>
      </c>
      <c r="AF157">
        <f t="shared" si="49"/>
        <v>0.73680000000000001</v>
      </c>
      <c r="AG157">
        <f t="shared" si="50"/>
        <v>0.92110000000000003</v>
      </c>
      <c r="AH157">
        <f t="shared" si="51"/>
        <v>0.97370000000000001</v>
      </c>
      <c r="AI157">
        <f t="shared" si="52"/>
        <v>1</v>
      </c>
      <c r="AJ157">
        <f t="shared" si="53"/>
        <v>2.5600000000000001E-2</v>
      </c>
    </row>
    <row r="158" spans="1:36" x14ac:dyDescent="0.25">
      <c r="A158" s="1">
        <v>45976.5</v>
      </c>
      <c r="B158" s="2" t="s">
        <v>47</v>
      </c>
      <c r="C158">
        <v>8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f t="shared" si="36"/>
        <v>10</v>
      </c>
      <c r="L158">
        <f t="shared" si="37"/>
        <v>0.88890000000000002</v>
      </c>
      <c r="M158">
        <f t="shared" si="38"/>
        <v>1</v>
      </c>
      <c r="N158">
        <f t="shared" si="39"/>
        <v>1</v>
      </c>
      <c r="O158">
        <f t="shared" si="40"/>
        <v>1</v>
      </c>
      <c r="P158">
        <f t="shared" si="41"/>
        <v>0.1</v>
      </c>
      <c r="Q158">
        <v>19</v>
      </c>
      <c r="R158">
        <v>2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f t="shared" si="42"/>
        <v>21</v>
      </c>
      <c r="Z158">
        <f t="shared" si="43"/>
        <v>31</v>
      </c>
      <c r="AA158">
        <f t="shared" si="44"/>
        <v>0.90480000000000005</v>
      </c>
      <c r="AB158">
        <f t="shared" si="45"/>
        <v>1</v>
      </c>
      <c r="AC158">
        <f t="shared" si="46"/>
        <v>1</v>
      </c>
      <c r="AD158">
        <f t="shared" si="47"/>
        <v>1</v>
      </c>
      <c r="AE158">
        <f t="shared" si="48"/>
        <v>0</v>
      </c>
      <c r="AF158">
        <f t="shared" si="49"/>
        <v>0.9</v>
      </c>
      <c r="AG158">
        <f t="shared" si="50"/>
        <v>1</v>
      </c>
      <c r="AH158">
        <f t="shared" si="51"/>
        <v>1</v>
      </c>
      <c r="AI158">
        <f t="shared" si="52"/>
        <v>1</v>
      </c>
      <c r="AJ158">
        <f t="shared" si="53"/>
        <v>3.2300000000000002E-2</v>
      </c>
    </row>
    <row r="159" spans="1:36" x14ac:dyDescent="0.25">
      <c r="A159" s="1">
        <v>45976.541666666664</v>
      </c>
      <c r="B159" s="2" t="s">
        <v>48</v>
      </c>
      <c r="C159">
        <v>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f t="shared" si="36"/>
        <v>7</v>
      </c>
      <c r="L159">
        <f t="shared" si="37"/>
        <v>1</v>
      </c>
      <c r="M159">
        <f t="shared" si="38"/>
        <v>1</v>
      </c>
      <c r="N159">
        <f t="shared" si="39"/>
        <v>1</v>
      </c>
      <c r="O159">
        <f t="shared" si="40"/>
        <v>1</v>
      </c>
      <c r="P159">
        <f t="shared" si="41"/>
        <v>0</v>
      </c>
      <c r="Q159">
        <v>15</v>
      </c>
      <c r="R159">
        <v>7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f t="shared" si="42"/>
        <v>23</v>
      </c>
      <c r="Z159">
        <f t="shared" si="43"/>
        <v>30</v>
      </c>
      <c r="AA159">
        <f t="shared" si="44"/>
        <v>0.6522</v>
      </c>
      <c r="AB159">
        <f t="shared" si="45"/>
        <v>0.95650000000000002</v>
      </c>
      <c r="AC159">
        <f t="shared" si="46"/>
        <v>1</v>
      </c>
      <c r="AD159">
        <f t="shared" si="47"/>
        <v>1</v>
      </c>
      <c r="AE159">
        <f t="shared" si="48"/>
        <v>0</v>
      </c>
      <c r="AF159">
        <f t="shared" si="49"/>
        <v>0.73329999999999995</v>
      </c>
      <c r="AG159">
        <f t="shared" si="50"/>
        <v>0.9667</v>
      </c>
      <c r="AH159">
        <f t="shared" si="51"/>
        <v>1</v>
      </c>
      <c r="AI159">
        <f t="shared" si="52"/>
        <v>1</v>
      </c>
      <c r="AJ159">
        <f t="shared" si="53"/>
        <v>0</v>
      </c>
    </row>
    <row r="160" spans="1:36" x14ac:dyDescent="0.25">
      <c r="A160" s="1">
        <v>45976.583333333336</v>
      </c>
      <c r="B160" s="2" t="s">
        <v>49</v>
      </c>
      <c r="C160">
        <v>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f t="shared" si="36"/>
        <v>10</v>
      </c>
      <c r="L160">
        <f t="shared" si="37"/>
        <v>1</v>
      </c>
      <c r="M160">
        <f t="shared" si="38"/>
        <v>1</v>
      </c>
      <c r="N160">
        <f t="shared" si="39"/>
        <v>1</v>
      </c>
      <c r="O160">
        <f t="shared" si="40"/>
        <v>1</v>
      </c>
      <c r="P160">
        <f t="shared" si="41"/>
        <v>0.1</v>
      </c>
      <c r="Q160">
        <v>13</v>
      </c>
      <c r="R160">
        <v>2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f t="shared" si="42"/>
        <v>15</v>
      </c>
      <c r="Z160">
        <f t="shared" si="43"/>
        <v>25</v>
      </c>
      <c r="AA160">
        <f t="shared" si="44"/>
        <v>0.86670000000000003</v>
      </c>
      <c r="AB160">
        <f t="shared" si="45"/>
        <v>1</v>
      </c>
      <c r="AC160">
        <f t="shared" si="46"/>
        <v>1</v>
      </c>
      <c r="AD160">
        <f t="shared" si="47"/>
        <v>1</v>
      </c>
      <c r="AE160">
        <f t="shared" si="48"/>
        <v>0</v>
      </c>
      <c r="AF160">
        <f t="shared" si="49"/>
        <v>0.91669999999999996</v>
      </c>
      <c r="AG160">
        <f t="shared" si="50"/>
        <v>1</v>
      </c>
      <c r="AH160">
        <f t="shared" si="51"/>
        <v>1</v>
      </c>
      <c r="AI160">
        <f t="shared" si="52"/>
        <v>1</v>
      </c>
      <c r="AJ160">
        <f t="shared" si="53"/>
        <v>0.04</v>
      </c>
    </row>
    <row r="161" spans="1:36" x14ac:dyDescent="0.25">
      <c r="A161" s="1">
        <v>45976.625</v>
      </c>
      <c r="B161" s="2" t="s">
        <v>50</v>
      </c>
      <c r="C161">
        <v>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f t="shared" si="36"/>
        <v>6</v>
      </c>
      <c r="L161">
        <f t="shared" si="37"/>
        <v>1</v>
      </c>
      <c r="M161">
        <f t="shared" si="38"/>
        <v>1</v>
      </c>
      <c r="N161">
        <f t="shared" si="39"/>
        <v>1</v>
      </c>
      <c r="O161">
        <f t="shared" si="40"/>
        <v>1</v>
      </c>
      <c r="P161">
        <f t="shared" si="41"/>
        <v>0</v>
      </c>
      <c r="Q161">
        <v>13</v>
      </c>
      <c r="R161">
        <v>2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f t="shared" si="42"/>
        <v>15</v>
      </c>
      <c r="Z161">
        <f t="shared" si="43"/>
        <v>21</v>
      </c>
      <c r="AA161">
        <f t="shared" si="44"/>
        <v>0.86670000000000003</v>
      </c>
      <c r="AB161">
        <f t="shared" si="45"/>
        <v>1</v>
      </c>
      <c r="AC161">
        <f t="shared" si="46"/>
        <v>1</v>
      </c>
      <c r="AD161">
        <f t="shared" si="47"/>
        <v>1</v>
      </c>
      <c r="AE161">
        <f t="shared" si="48"/>
        <v>0</v>
      </c>
      <c r="AF161">
        <f t="shared" si="49"/>
        <v>0.90480000000000005</v>
      </c>
      <c r="AG161">
        <f t="shared" si="50"/>
        <v>1</v>
      </c>
      <c r="AH161">
        <f t="shared" si="51"/>
        <v>1</v>
      </c>
      <c r="AI161">
        <f t="shared" si="52"/>
        <v>1</v>
      </c>
      <c r="AJ161">
        <f t="shared" si="53"/>
        <v>0</v>
      </c>
    </row>
    <row r="162" spans="1:36" x14ac:dyDescent="0.25">
      <c r="A162" s="1">
        <v>45976.666666666664</v>
      </c>
      <c r="B162" s="2" t="s">
        <v>51</v>
      </c>
      <c r="C162">
        <v>17</v>
      </c>
      <c r="D162">
        <v>3</v>
      </c>
      <c r="E162">
        <v>1</v>
      </c>
      <c r="F162">
        <v>1</v>
      </c>
      <c r="G162">
        <v>1</v>
      </c>
      <c r="H162">
        <v>0</v>
      </c>
      <c r="I162">
        <v>0</v>
      </c>
      <c r="J162">
        <v>1</v>
      </c>
      <c r="K162">
        <f t="shared" si="36"/>
        <v>24</v>
      </c>
      <c r="L162">
        <f t="shared" si="37"/>
        <v>0.73909999999999998</v>
      </c>
      <c r="M162">
        <f t="shared" si="38"/>
        <v>0.86960000000000004</v>
      </c>
      <c r="N162">
        <f t="shared" si="39"/>
        <v>0.91300000000000003</v>
      </c>
      <c r="O162">
        <f t="shared" si="40"/>
        <v>0.95650000000000002</v>
      </c>
      <c r="P162">
        <f t="shared" si="41"/>
        <v>4.1700000000000001E-2</v>
      </c>
      <c r="Q162">
        <v>21</v>
      </c>
      <c r="R162">
        <v>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f t="shared" si="42"/>
        <v>25</v>
      </c>
      <c r="Z162">
        <f t="shared" si="43"/>
        <v>49</v>
      </c>
      <c r="AA162">
        <f t="shared" si="44"/>
        <v>0.84</v>
      </c>
      <c r="AB162">
        <f t="shared" si="45"/>
        <v>1</v>
      </c>
      <c r="AC162">
        <f t="shared" si="46"/>
        <v>1</v>
      </c>
      <c r="AD162">
        <f t="shared" si="47"/>
        <v>1</v>
      </c>
      <c r="AE162">
        <f t="shared" si="48"/>
        <v>0</v>
      </c>
      <c r="AF162">
        <f t="shared" si="49"/>
        <v>0.79169999999999996</v>
      </c>
      <c r="AG162">
        <f t="shared" si="50"/>
        <v>0.9375</v>
      </c>
      <c r="AH162">
        <f t="shared" si="51"/>
        <v>0.95830000000000004</v>
      </c>
      <c r="AI162">
        <f t="shared" si="52"/>
        <v>0.97919999999999996</v>
      </c>
      <c r="AJ162">
        <f t="shared" si="53"/>
        <v>2.0400000000000001E-2</v>
      </c>
    </row>
    <row r="163" spans="1:36" x14ac:dyDescent="0.25">
      <c r="A163" s="1">
        <v>45976.708333333336</v>
      </c>
      <c r="B163" s="2" t="s">
        <v>52</v>
      </c>
      <c r="C163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f t="shared" si="36"/>
        <v>5</v>
      </c>
      <c r="L163">
        <f t="shared" si="37"/>
        <v>1</v>
      </c>
      <c r="M163">
        <f t="shared" si="38"/>
        <v>1</v>
      </c>
      <c r="N163">
        <f t="shared" si="39"/>
        <v>1</v>
      </c>
      <c r="O163">
        <f t="shared" si="40"/>
        <v>1</v>
      </c>
      <c r="P163">
        <f t="shared" si="41"/>
        <v>0</v>
      </c>
      <c r="Q163">
        <v>21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f t="shared" si="42"/>
        <v>23</v>
      </c>
      <c r="Z163">
        <f t="shared" si="43"/>
        <v>28</v>
      </c>
      <c r="AA163">
        <f t="shared" si="44"/>
        <v>0.95450000000000002</v>
      </c>
      <c r="AB163">
        <f t="shared" si="45"/>
        <v>1</v>
      </c>
      <c r="AC163">
        <f t="shared" si="46"/>
        <v>1</v>
      </c>
      <c r="AD163">
        <f t="shared" si="47"/>
        <v>1</v>
      </c>
      <c r="AE163">
        <f t="shared" si="48"/>
        <v>4.3499999999999997E-2</v>
      </c>
      <c r="AF163">
        <f t="shared" si="49"/>
        <v>0.96299999999999997</v>
      </c>
      <c r="AG163">
        <f t="shared" si="50"/>
        <v>1</v>
      </c>
      <c r="AH163">
        <f t="shared" si="51"/>
        <v>1</v>
      </c>
      <c r="AI163">
        <f t="shared" si="52"/>
        <v>1</v>
      </c>
      <c r="AJ163">
        <f t="shared" si="53"/>
        <v>3.5700000000000003E-2</v>
      </c>
    </row>
    <row r="164" spans="1:36" x14ac:dyDescent="0.25">
      <c r="A164" s="1">
        <v>45976.75</v>
      </c>
      <c r="B164" s="2" t="s">
        <v>53</v>
      </c>
      <c r="C164">
        <v>10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f t="shared" si="36"/>
        <v>11</v>
      </c>
      <c r="L164">
        <f t="shared" si="37"/>
        <v>1</v>
      </c>
      <c r="M164">
        <f t="shared" si="38"/>
        <v>1</v>
      </c>
      <c r="N164">
        <f t="shared" si="39"/>
        <v>1</v>
      </c>
      <c r="O164">
        <f t="shared" si="40"/>
        <v>1</v>
      </c>
      <c r="P164">
        <f t="shared" si="41"/>
        <v>9.0899999999999995E-2</v>
      </c>
      <c r="Q164">
        <v>17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f t="shared" si="42"/>
        <v>18</v>
      </c>
      <c r="Z164">
        <f t="shared" si="43"/>
        <v>29</v>
      </c>
      <c r="AA164">
        <f t="shared" si="44"/>
        <v>0.94440000000000002</v>
      </c>
      <c r="AB164">
        <f t="shared" si="45"/>
        <v>1</v>
      </c>
      <c r="AC164">
        <f t="shared" si="46"/>
        <v>1</v>
      </c>
      <c r="AD164">
        <f t="shared" si="47"/>
        <v>1</v>
      </c>
      <c r="AE164">
        <f t="shared" si="48"/>
        <v>0</v>
      </c>
      <c r="AF164">
        <f t="shared" si="49"/>
        <v>0.96430000000000005</v>
      </c>
      <c r="AG164">
        <f t="shared" si="50"/>
        <v>1</v>
      </c>
      <c r="AH164">
        <f t="shared" si="51"/>
        <v>1</v>
      </c>
      <c r="AI164">
        <f t="shared" si="52"/>
        <v>1</v>
      </c>
      <c r="AJ164">
        <f t="shared" si="53"/>
        <v>3.4500000000000003E-2</v>
      </c>
    </row>
    <row r="165" spans="1:36" x14ac:dyDescent="0.25">
      <c r="A165" s="1">
        <v>45976.791666666664</v>
      </c>
      <c r="B165" s="2" t="s">
        <v>54</v>
      </c>
      <c r="C165">
        <v>6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f t="shared" si="36"/>
        <v>7</v>
      </c>
      <c r="L165">
        <f t="shared" si="37"/>
        <v>0.85709999999999997</v>
      </c>
      <c r="M165">
        <f t="shared" si="38"/>
        <v>1</v>
      </c>
      <c r="N165">
        <f t="shared" si="39"/>
        <v>1</v>
      </c>
      <c r="O165">
        <f t="shared" si="40"/>
        <v>1</v>
      </c>
      <c r="P165">
        <f t="shared" si="41"/>
        <v>0</v>
      </c>
      <c r="Q165">
        <v>17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f t="shared" si="42"/>
        <v>17</v>
      </c>
      <c r="Z165">
        <f t="shared" si="43"/>
        <v>24</v>
      </c>
      <c r="AA165">
        <f t="shared" si="44"/>
        <v>1</v>
      </c>
      <c r="AB165">
        <f t="shared" si="45"/>
        <v>1</v>
      </c>
      <c r="AC165">
        <f t="shared" si="46"/>
        <v>1</v>
      </c>
      <c r="AD165">
        <f t="shared" si="47"/>
        <v>1</v>
      </c>
      <c r="AE165">
        <f t="shared" si="48"/>
        <v>0</v>
      </c>
      <c r="AF165">
        <f t="shared" si="49"/>
        <v>0.95830000000000004</v>
      </c>
      <c r="AG165">
        <f t="shared" si="50"/>
        <v>1</v>
      </c>
      <c r="AH165">
        <f t="shared" si="51"/>
        <v>1</v>
      </c>
      <c r="AI165">
        <f t="shared" si="52"/>
        <v>1</v>
      </c>
      <c r="AJ165">
        <f t="shared" si="53"/>
        <v>0</v>
      </c>
    </row>
    <row r="166" spans="1:36" x14ac:dyDescent="0.25">
      <c r="A166" s="1">
        <v>45976.833333333336</v>
      </c>
      <c r="B166" s="2" t="s">
        <v>55</v>
      </c>
      <c r="C166">
        <v>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f t="shared" si="36"/>
        <v>6</v>
      </c>
      <c r="L166">
        <f t="shared" si="37"/>
        <v>1</v>
      </c>
      <c r="M166">
        <f t="shared" si="38"/>
        <v>1</v>
      </c>
      <c r="N166">
        <f t="shared" si="39"/>
        <v>1</v>
      </c>
      <c r="O166">
        <f t="shared" si="40"/>
        <v>1</v>
      </c>
      <c r="P166">
        <f t="shared" si="41"/>
        <v>0</v>
      </c>
      <c r="Q166">
        <v>14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f t="shared" si="42"/>
        <v>14</v>
      </c>
      <c r="Z166">
        <f t="shared" si="43"/>
        <v>20</v>
      </c>
      <c r="AA166">
        <f t="shared" si="44"/>
        <v>1</v>
      </c>
      <c r="AB166">
        <f t="shared" si="45"/>
        <v>1</v>
      </c>
      <c r="AC166">
        <f t="shared" si="46"/>
        <v>1</v>
      </c>
      <c r="AD166">
        <f t="shared" si="47"/>
        <v>1</v>
      </c>
      <c r="AE166">
        <f t="shared" si="48"/>
        <v>0</v>
      </c>
      <c r="AF166">
        <f t="shared" si="49"/>
        <v>1</v>
      </c>
      <c r="AG166">
        <f t="shared" si="50"/>
        <v>1</v>
      </c>
      <c r="AH166">
        <f t="shared" si="51"/>
        <v>1</v>
      </c>
      <c r="AI166">
        <f t="shared" si="52"/>
        <v>1</v>
      </c>
      <c r="AJ166">
        <f t="shared" si="53"/>
        <v>0</v>
      </c>
    </row>
    <row r="167" spans="1:36" x14ac:dyDescent="0.25">
      <c r="A167" s="1">
        <v>45976.875</v>
      </c>
      <c r="B167" s="2" t="s">
        <v>56</v>
      </c>
      <c r="C167">
        <v>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f t="shared" si="36"/>
        <v>5</v>
      </c>
      <c r="L167">
        <f t="shared" si="37"/>
        <v>1</v>
      </c>
      <c r="M167">
        <f t="shared" si="38"/>
        <v>1</v>
      </c>
      <c r="N167">
        <f t="shared" si="39"/>
        <v>1</v>
      </c>
      <c r="O167">
        <f t="shared" si="40"/>
        <v>1</v>
      </c>
      <c r="P167">
        <f t="shared" si="41"/>
        <v>0.2</v>
      </c>
      <c r="Q167">
        <v>9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f t="shared" si="42"/>
        <v>9</v>
      </c>
      <c r="Z167">
        <f t="shared" si="43"/>
        <v>14</v>
      </c>
      <c r="AA167">
        <f t="shared" si="44"/>
        <v>1</v>
      </c>
      <c r="AB167">
        <f t="shared" si="45"/>
        <v>1</v>
      </c>
      <c r="AC167">
        <f t="shared" si="46"/>
        <v>1</v>
      </c>
      <c r="AD167">
        <f t="shared" si="47"/>
        <v>1</v>
      </c>
      <c r="AE167">
        <f t="shared" si="48"/>
        <v>0</v>
      </c>
      <c r="AF167">
        <f t="shared" si="49"/>
        <v>1</v>
      </c>
      <c r="AG167">
        <f t="shared" si="50"/>
        <v>1</v>
      </c>
      <c r="AH167">
        <f t="shared" si="51"/>
        <v>1</v>
      </c>
      <c r="AI167">
        <f t="shared" si="52"/>
        <v>1</v>
      </c>
      <c r="AJ167">
        <f t="shared" si="53"/>
        <v>7.1400000000000005E-2</v>
      </c>
    </row>
    <row r="168" spans="1:36" x14ac:dyDescent="0.25">
      <c r="A168" s="1">
        <v>45976.916666666664</v>
      </c>
      <c r="B168" s="2" t="s">
        <v>57</v>
      </c>
      <c r="C168">
        <v>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f t="shared" si="36"/>
        <v>8</v>
      </c>
      <c r="L168">
        <f t="shared" si="37"/>
        <v>1</v>
      </c>
      <c r="M168">
        <f t="shared" si="38"/>
        <v>1</v>
      </c>
      <c r="N168">
        <f t="shared" si="39"/>
        <v>1</v>
      </c>
      <c r="O168">
        <f t="shared" si="40"/>
        <v>1</v>
      </c>
      <c r="P168">
        <f t="shared" si="41"/>
        <v>0.125</v>
      </c>
      <c r="Q168">
        <v>8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f t="shared" si="42"/>
        <v>8</v>
      </c>
      <c r="Z168">
        <f t="shared" si="43"/>
        <v>16</v>
      </c>
      <c r="AA168">
        <f t="shared" si="44"/>
        <v>1</v>
      </c>
      <c r="AB168">
        <f t="shared" si="45"/>
        <v>1</v>
      </c>
      <c r="AC168">
        <f t="shared" si="46"/>
        <v>1</v>
      </c>
      <c r="AD168">
        <f t="shared" si="47"/>
        <v>1</v>
      </c>
      <c r="AE168">
        <f t="shared" si="48"/>
        <v>0</v>
      </c>
      <c r="AF168">
        <f t="shared" si="49"/>
        <v>1</v>
      </c>
      <c r="AG168">
        <f t="shared" si="50"/>
        <v>1</v>
      </c>
      <c r="AH168">
        <f t="shared" si="51"/>
        <v>1</v>
      </c>
      <c r="AI168">
        <f t="shared" si="52"/>
        <v>1</v>
      </c>
      <c r="AJ168">
        <f t="shared" si="53"/>
        <v>6.25E-2</v>
      </c>
    </row>
    <row r="169" spans="1:36" x14ac:dyDescent="0.25">
      <c r="A169" s="1">
        <v>45976.958333333336</v>
      </c>
      <c r="B169" s="2" t="s">
        <v>58</v>
      </c>
      <c r="C169">
        <v>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f t="shared" si="36"/>
        <v>4</v>
      </c>
      <c r="L169">
        <f t="shared" si="37"/>
        <v>1</v>
      </c>
      <c r="M169">
        <f t="shared" si="38"/>
        <v>1</v>
      </c>
      <c r="N169">
        <f t="shared" si="39"/>
        <v>1</v>
      </c>
      <c r="O169">
        <f t="shared" si="40"/>
        <v>1</v>
      </c>
      <c r="P169">
        <f t="shared" si="41"/>
        <v>0</v>
      </c>
      <c r="Q169">
        <v>13</v>
      </c>
      <c r="R169">
        <v>0</v>
      </c>
      <c r="S169">
        <v>1</v>
      </c>
      <c r="T169">
        <v>1</v>
      </c>
      <c r="U169">
        <v>0</v>
      </c>
      <c r="V169">
        <v>0</v>
      </c>
      <c r="W169">
        <v>0</v>
      </c>
      <c r="X169">
        <v>1</v>
      </c>
      <c r="Y169">
        <f t="shared" si="42"/>
        <v>16</v>
      </c>
      <c r="Z169">
        <f t="shared" si="43"/>
        <v>20</v>
      </c>
      <c r="AA169">
        <f t="shared" si="44"/>
        <v>0.86670000000000003</v>
      </c>
      <c r="AB169">
        <f t="shared" si="45"/>
        <v>0.86670000000000003</v>
      </c>
      <c r="AC169">
        <f t="shared" si="46"/>
        <v>0.93330000000000002</v>
      </c>
      <c r="AD169">
        <f t="shared" si="47"/>
        <v>1</v>
      </c>
      <c r="AE169">
        <f t="shared" si="48"/>
        <v>6.25E-2</v>
      </c>
      <c r="AF169">
        <f t="shared" si="49"/>
        <v>0.89470000000000005</v>
      </c>
      <c r="AG169">
        <f t="shared" si="50"/>
        <v>0.89470000000000005</v>
      </c>
      <c r="AH169">
        <f t="shared" si="51"/>
        <v>0.94740000000000002</v>
      </c>
      <c r="AI169">
        <f t="shared" si="52"/>
        <v>1</v>
      </c>
      <c r="AJ169">
        <f t="shared" si="53"/>
        <v>0.05</v>
      </c>
    </row>
  </sheetData>
  <pageMargins left="0.7" right="0.7" top="0.75" bottom="0.75" header="0.3" footer="0.3"/>
  <ignoredErrors>
    <ignoredError sqref="Y5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week_46_phone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Dunsworth</cp:lastModifiedBy>
  <dcterms:created xsi:type="dcterms:W3CDTF">2025-11-20T13:14:17Z</dcterms:created>
  <dcterms:modified xsi:type="dcterms:W3CDTF">2025-11-21T20:13:34Z</dcterms:modified>
</cp:coreProperties>
</file>